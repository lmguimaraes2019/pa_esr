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nasnuvensrnp.sharepoint.com/sites/EscritriodeProjetosDAGSOL/Documentos Compartilhados/07. Gestão Financeira/2. Planejamento/PA 2027/Prévia orçamentos - Manual/"/>
    </mc:Choice>
  </mc:AlternateContent>
  <xr:revisionPtr revIDLastSave="293" documentId="8_{A9F592D0-2620-4A23-A85E-A7607B4467DC}" xr6:coauthVersionLast="47" xr6:coauthVersionMax="47" xr10:uidLastSave="{67F5A5D7-4AEC-4AFD-8F19-9DB57639AC52}"/>
  <bookViews>
    <workbookView xWindow="-108" yWindow="-108" windowWidth="23256" windowHeight="12456" xr2:uid="{5D467F2F-9C1A-4CDC-8519-99EC2C819274}"/>
  </bookViews>
  <sheets>
    <sheet name="Calendarização" sheetId="1" r:id="rId1"/>
    <sheet name="Conta Contábil" sheetId="8" state="hidden" r:id="rId2"/>
    <sheet name="Diretoria, Gerente, Origem" sheetId="9" state="hidden" r:id="rId3"/>
  </sheets>
  <definedNames>
    <definedName name="Benfeitorias_e_Obras_Proprias">_xlfn.ANCHORARRAY('Conta Contábil'!$F$2)</definedName>
    <definedName name="Cabos_Opticos">_xlfn.ANCHORARRAY('Conta Contábil'!$G$2)</definedName>
    <definedName name="Conectividade">_xlfn.ANCHORARRAY('Conta Contábil'!$H$2)</definedName>
    <definedName name="DadosExternos_1" localSheetId="1" hidden="1">'Conta Contábil'!$A$1:$C$131</definedName>
    <definedName name="DadosExternos_1" localSheetId="2" hidden="1">'Diretoria, Gerente, Origem'!$A$1:$B$6</definedName>
    <definedName name="DadosExternos_2" localSheetId="2" hidden="1">'Diretoria, Gerente, Origem'!$D$1:$E$31</definedName>
    <definedName name="DadosExternos_3" localSheetId="2" hidden="1">'Diretoria, Gerente, Origem'!$G$1:$I$6</definedName>
    <definedName name="Diretoria_Adjunta">dim_DiretoriaAdjunta[Diretoria Adjunta]</definedName>
    <definedName name="Gerente">dim_Gerente[Gerente]</definedName>
    <definedName name="Grupo_de_Despesa">_xlfn.ANCHORARRAY('Conta Contábil'!$E$2)</definedName>
    <definedName name="Hardware">_xlfn.ANCHORARRAY('Conta Contábil'!$I$2)</definedName>
    <definedName name="Impostos_e_Taxas">_xlfn.ANCHORARRAY('Conta Contábil'!$J$2)</definedName>
    <definedName name="Maquinas_e_Aparelhos">_xlfn.ANCHORARRAY('Conta Contábil'!$K$2)</definedName>
    <definedName name="Moveis_e_Utensilios">_xlfn.ANCHORARRAY('Conta Contábil'!$L$2)</definedName>
    <definedName name="Operacionais_Administrativos">_xlfn.ANCHORARRAY('Conta Contábil'!$M$2)</definedName>
    <definedName name="Origem_de_Recurso">dim_OrigemdeRecurso[Origem de Recurso]</definedName>
    <definedName name="Pessoal">_xlfn.ANCHORARRAY('Conta Contábil'!$N$2)</definedName>
    <definedName name="Seguros">_xlfn.ANCHORARRAY('Conta Contábil'!$O$2)</definedName>
    <definedName name="Servicos_PF">_xlfn.ANCHORARRAY('Conta Contábil'!$P$2)</definedName>
    <definedName name="Servicos_PJ">_xlfn.ANCHORARRAY('Conta Contábil'!$Q$2)</definedName>
    <definedName name="Software">_xlfn.ANCHORARRAY('Conta Contábil'!$R$2)</definedName>
    <definedName name="Viagens_Internacionais">_xlfn.ANCHORARRAY('Conta Contábil'!$S$2)</definedName>
    <definedName name="Viagens_Nacionais">_xlfn.ANCHORARRAY('Conta Contábil'!$T$2)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J4" i="1"/>
  <c r="J5" i="1"/>
  <c r="J6" i="1"/>
  <c r="J7" i="1"/>
  <c r="J8" i="1"/>
  <c r="J9" i="1"/>
  <c r="J10" i="1"/>
  <c r="J11" i="1"/>
  <c r="E2" i="8" l="1" a="1"/>
  <c r="E2" i="8" s="1"/>
  <c r="F1" i="8" l="1" a="1"/>
  <c r="U2" i="8" l="1" a="1"/>
  <c r="U2" i="8" s="1"/>
  <c r="T2" i="8" a="1"/>
  <c r="T2" i="8" s="1"/>
  <c r="F1" i="8"/>
  <c r="F2" i="8" s="1" a="1"/>
  <c r="F2" i="8" s="1"/>
  <c r="S2" i="8" a="1"/>
  <c r="S2" i="8" s="1"/>
  <c r="M2" i="8" a="1"/>
  <c r="M2" i="8" s="1"/>
  <c r="K2" i="8" a="1"/>
  <c r="K2" i="8" s="1"/>
  <c r="I2" i="8" a="1"/>
  <c r="I2" i="8" s="1"/>
  <c r="H2" i="8" a="1"/>
  <c r="H2" i="8" s="1"/>
  <c r="R2" i="8" a="1"/>
  <c r="R2" i="8" s="1"/>
  <c r="P2" i="8" a="1"/>
  <c r="P2" i="8" s="1"/>
  <c r="O2" i="8" a="1"/>
  <c r="O2" i="8" s="1"/>
  <c r="N2" i="8" a="1"/>
  <c r="N2" i="8" s="1"/>
  <c r="L2" i="8" a="1"/>
  <c r="L2" i="8" s="1"/>
  <c r="J2" i="8" a="1"/>
  <c r="J2" i="8" s="1"/>
  <c r="G2" i="8" a="1"/>
  <c r="G2" i="8" s="1"/>
  <c r="Q2" i="8" a="1"/>
  <c r="Q2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2514D-20BE-4F29-B7BD-42C98E61DA5D}" keepAlive="1" name="Consulta - dim_ContaContábi_Grupo" description="Conexão com a consulta 'dim_ContaContábi_Grupo' na pasta de trabalho." type="5" refreshedVersion="8" background="1" saveData="1">
    <dbPr connection="Provider=Microsoft.Mashup.OleDb.1;Data Source=$Workbook$;Location=dim_ContaContábi_Grupo;Extended Properties=&quot;&quot;" command="SELECT * FROM [dim_ContaContábi_Grupo]"/>
  </connection>
  <connection id="2" xr16:uid="{07DD18A5-4E78-4E7B-ACB1-7009D40873B6}" keepAlive="1" name="Consulta - dim_DiretoriaAdjunta" description="Conexão com a consulta 'dim_DiretoriaAdjunta' na pasta de trabalho." type="5" refreshedVersion="8" background="1" saveData="1">
    <dbPr connection="Provider=Microsoft.Mashup.OleDb.1;Data Source=$Workbook$;Location=dim_DiretoriaAdjunta;Extended Properties=&quot;&quot;" command="SELECT * FROM [dim_DiretoriaAdjunta]"/>
  </connection>
  <connection id="3" xr16:uid="{2E5AC609-2C0A-4148-9B69-5D2BED2A2804}" keepAlive="1" name="Consulta - dim_Gerente" description="Conexão com a consulta 'dim_Gerente' na pasta de trabalho." type="5" refreshedVersion="8" background="1" saveData="1">
    <dbPr connection="Provider=Microsoft.Mashup.OleDb.1;Data Source=$Workbook$;Location=dim_Gerente;Extended Properties=&quot;&quot;" command="SELECT * FROM [dim_Gerente]"/>
  </connection>
  <connection id="4" xr16:uid="{B8720A67-0FFD-4DA8-8F7F-CF583CA11547}" keepAlive="1" name="Consulta - dim_OrigemdeRecurso" description="Conexão com a consulta 'dim_OrigemdeRecurso' na pasta de trabalho." type="5" refreshedVersion="8" background="1" saveData="1">
    <dbPr connection="Provider=Microsoft.Mashup.OleDb.1;Data Source=$Workbook$;Location=dim_OrigemdeRecurso;Extended Properties=&quot;&quot;" command="SELECT * FROM [dim_OrigemdeRecurs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<sst xmlns="http://schemas.openxmlformats.org/spreadsheetml/2006/main" count="379" uniqueCount="209">
  <si>
    <t>Diretoria Adjunta</t>
  </si>
  <si>
    <t>Nº do Projeto</t>
  </si>
  <si>
    <t>Descrição do Projeto</t>
  </si>
  <si>
    <t>Origem de Recurso</t>
  </si>
  <si>
    <t>Gerente</t>
  </si>
  <si>
    <t>Meta/EDT</t>
  </si>
  <si>
    <t>Ação/Tarefa</t>
  </si>
  <si>
    <t>Grupo de Despesa</t>
  </si>
  <si>
    <t>Descrição da Conta Contábil</t>
  </si>
  <si>
    <t>Conta Contábil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</si>
  <si>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</si>
  <si>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</si>
  <si>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</si>
  <si>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</si>
  <si>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</si>
  <si>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</si>
  <si>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</si>
  <si>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</si>
  <si>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</si>
  <si>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</si>
  <si>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</si>
  <si>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</si>
  <si>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</si>
  <si>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Servicos PJ</t>
  </si>
  <si>
    <t>Servico Especializados - Eventos</t>
  </si>
  <si>
    <t>Operacionais Administrativos</t>
  </si>
  <si>
    <t>Alugueis Matriz - RJ</t>
  </si>
  <si>
    <t>Descrição do Grupo de Despesa</t>
  </si>
  <si>
    <t>13º Salario</t>
  </si>
  <si>
    <t>Pessoal</t>
  </si>
  <si>
    <t>Agenciamento/Taxas de Viagens</t>
  </si>
  <si>
    <t>Viagens Nacionais</t>
  </si>
  <si>
    <t>Alimentacao</t>
  </si>
  <si>
    <t>Aluguel de Bens Moveis</t>
  </si>
  <si>
    <t>Aluguel de Veiculos</t>
  </si>
  <si>
    <t>Assessoria de Imprensa</t>
  </si>
  <si>
    <t>Assessoria/Consultoria em Informatica</t>
  </si>
  <si>
    <t>Assistencia Medica</t>
  </si>
  <si>
    <t>Assistencia Odontologica</t>
  </si>
  <si>
    <t>Auxilio Alimentacao / Refeicao</t>
  </si>
  <si>
    <t>Bolsistas</t>
  </si>
  <si>
    <t>Cabos Opticos</t>
  </si>
  <si>
    <t>Maquinas e Aparelhos</t>
  </si>
  <si>
    <t>Cofins s/ Prest. Servicos</t>
  </si>
  <si>
    <t>Impostos e Taxas</t>
  </si>
  <si>
    <t>Complemento Auxilio Doenca</t>
  </si>
  <si>
    <t>Condominio Filial - DF</t>
  </si>
  <si>
    <t>Condominio Matriz - RJ</t>
  </si>
  <si>
    <t>Conducao, Transporte e Estacionamento</t>
  </si>
  <si>
    <t>Conectividade Nacional</t>
  </si>
  <si>
    <t>Conectividade</t>
  </si>
  <si>
    <t>Consultoria / Assessoria - ESR</t>
  </si>
  <si>
    <t>Consultoria em Projetos</t>
  </si>
  <si>
    <t>Consultoria Juridica</t>
  </si>
  <si>
    <t>Consultoria/Assessoria</t>
  </si>
  <si>
    <t>Contribuicoes de Associacoes/Filiacoes</t>
  </si>
  <si>
    <t>Convenio de Cooperacao Academica</t>
  </si>
  <si>
    <t>Correios, Malotes e Remessa de Documento</t>
  </si>
  <si>
    <t>Demais Auxilios</t>
  </si>
  <si>
    <t>Despesas c/Fretes</t>
  </si>
  <si>
    <t>Diarias</t>
  </si>
  <si>
    <t>Diarias - Internacionais</t>
  </si>
  <si>
    <t>Viagens Internacionais</t>
  </si>
  <si>
    <t>Energia Eletrica Filial - DF</t>
  </si>
  <si>
    <t>Energia Eletrica Matriz - RJ</t>
  </si>
  <si>
    <t>Estagiarios</t>
  </si>
  <si>
    <t>Ferias</t>
  </si>
  <si>
    <t>Filmagem</t>
  </si>
  <si>
    <t>Fundo de Garantia - FGTS</t>
  </si>
  <si>
    <t>Gratificacoes</t>
  </si>
  <si>
    <t>Hardware</t>
  </si>
  <si>
    <t>Horas Extras</t>
  </si>
  <si>
    <t>Hospedagem</t>
  </si>
  <si>
    <t>Hospedagem - Internacional</t>
  </si>
  <si>
    <t>ICMS-DIFAL</t>
  </si>
  <si>
    <t>Impressao</t>
  </si>
  <si>
    <t>Instalacao, Manutencao e Reparo de Equip</t>
  </si>
  <si>
    <t>IOF</t>
  </si>
  <si>
    <t>IR s/Servico Exterior</t>
  </si>
  <si>
    <t>ISS s/ Movimento Economico</t>
  </si>
  <si>
    <t>Jornais, Revistas e Periodicos (Assinatu</t>
  </si>
  <si>
    <t>Juros e Multa</t>
  </si>
  <si>
    <t>Lanches e Refeicoes</t>
  </si>
  <si>
    <t>Licenca e Manutencao de Uso de Software</t>
  </si>
  <si>
    <t>Locacao - Espaco Fisico</t>
  </si>
  <si>
    <t>Manutenção e Reparos Prediais</t>
  </si>
  <si>
    <t>Materiais Promocionais</t>
  </si>
  <si>
    <t>Material de Consumo</t>
  </si>
  <si>
    <t>Material de Copa e Cozinha</t>
  </si>
  <si>
    <t>Material de Escritorio</t>
  </si>
  <si>
    <t>Material de Informatica</t>
  </si>
  <si>
    <t>Material de Limpeza e Higiene</t>
  </si>
  <si>
    <t>Material de Manutencao</t>
  </si>
  <si>
    <t>Moveis e Utensilios</t>
  </si>
  <si>
    <t>Outras Despesas com Pessoal</t>
  </si>
  <si>
    <t>Passagens Aereas</t>
  </si>
  <si>
    <t>Passagens Aereas - Internacionais</t>
  </si>
  <si>
    <t>PIS s/Folha de Pagamento</t>
  </si>
  <si>
    <t>Premio de Desempenho</t>
  </si>
  <si>
    <t>Prestacao de Servicos Pessoa Fisica</t>
  </si>
  <si>
    <t>Servicos PF</t>
  </si>
  <si>
    <t>Previdencia Social - INSS</t>
  </si>
  <si>
    <t>Promocoes e Eventos</t>
  </si>
  <si>
    <t>Propaganda, Publicidade, Anuncios</t>
  </si>
  <si>
    <t>Provisao - 13ºSalario</t>
  </si>
  <si>
    <t>Provisao - Ferias</t>
  </si>
  <si>
    <t>Provisao FGTS - 13ºSalario</t>
  </si>
  <si>
    <t>Provisao FGTS s/Ferias</t>
  </si>
  <si>
    <t>Provisao INSS - 13ºSalario</t>
  </si>
  <si>
    <t>Provisao INSS s/Ferias</t>
  </si>
  <si>
    <t>Representacao</t>
  </si>
  <si>
    <t>Representacao - Internacional</t>
  </si>
  <si>
    <t>Salarios</t>
  </si>
  <si>
    <t>Seguro de Vida em Grupo</t>
  </si>
  <si>
    <t>Seguro Viagem</t>
  </si>
  <si>
    <t>Seguro Viagem - Internacional</t>
  </si>
  <si>
    <t>Serv de Traducao e Digitacao</t>
  </si>
  <si>
    <t>Servico de Obra Civil</t>
  </si>
  <si>
    <t>Servicos Aduaneiros</t>
  </si>
  <si>
    <t>Software</t>
  </si>
  <si>
    <t>Tarifas Bancarias</t>
  </si>
  <si>
    <t>Telefonia Fixa</t>
  </si>
  <si>
    <t>Telefonia Movel</t>
  </si>
  <si>
    <t>Terceirizacao de Mao de Obra</t>
  </si>
  <si>
    <t>Transporte</t>
  </si>
  <si>
    <t>Transporte/Translado - Internacional</t>
  </si>
  <si>
    <t>Treinamento / Curso / Workshop</t>
  </si>
  <si>
    <t>Treinamento de Pessoal</t>
  </si>
  <si>
    <t>Vale Transporte</t>
  </si>
  <si>
    <t>Aluguel Bens Imoveis - Projeto</t>
  </si>
  <si>
    <t>Despesas com Cartorios</t>
  </si>
  <si>
    <t>Aluguel Infra Estrutura Optica</t>
  </si>
  <si>
    <t>Manutencao e Reparos (Equi/Mob)</t>
  </si>
  <si>
    <t>Agua e Esgoto</t>
  </si>
  <si>
    <t>Alimentacao - Viagens Internacionais</t>
  </si>
  <si>
    <t>Aluguel de Maq. e Equip.</t>
  </si>
  <si>
    <t>Aluguel Filial - CP</t>
  </si>
  <si>
    <t>Aluguel Filial - DF</t>
  </si>
  <si>
    <t>Auditoria</t>
  </si>
  <si>
    <t>Benfeitorias e Obras Proprias</t>
  </si>
  <si>
    <t>Benfeitorias e Obras proprias</t>
  </si>
  <si>
    <t>Condominio Filial - CP</t>
  </si>
  <si>
    <t>Conectividade Internacional</t>
  </si>
  <si>
    <t>Contabilidade, inclusive servicos tecnicos e auxiliares</t>
  </si>
  <si>
    <t>Convenio de Cooperacao Tecnica</t>
  </si>
  <si>
    <t>Despesas Legais e Judiciais</t>
  </si>
  <si>
    <t>Energia Eletrica - CDCS</t>
  </si>
  <si>
    <t>Energia Eletrica Filial - CP</t>
  </si>
  <si>
    <t>Equipamentos de Informatica e Rede (seguros)</t>
  </si>
  <si>
    <t>Seguros</t>
  </si>
  <si>
    <t>Extensao de Garantia</t>
  </si>
  <si>
    <t>Internet</t>
  </si>
  <si>
    <t>IPTU</t>
  </si>
  <si>
    <t>Pensao Alimentar</t>
  </si>
  <si>
    <t>Seguro Empresarial</t>
  </si>
  <si>
    <t>ESR</t>
  </si>
  <si>
    <t>Fornecedores Contratos - TELECOM</t>
  </si>
  <si>
    <t>Servico Hospedagem - Eventos</t>
  </si>
  <si>
    <t>Apropriacao de Juros</t>
  </si>
  <si>
    <t>Descontos Concedidos</t>
  </si>
  <si>
    <t>IRRF s/Aplicacao Financeira</t>
  </si>
  <si>
    <t>Outras Despesas com Servicos</t>
  </si>
  <si>
    <t>Diretor Adjunto</t>
  </si>
  <si>
    <t>Código</t>
  </si>
  <si>
    <t>Nome</t>
  </si>
  <si>
    <t>Luiz Coelho</t>
  </si>
  <si>
    <t>DAGSER</t>
  </si>
  <si>
    <t>Adriano Adoryan</t>
  </si>
  <si>
    <t>DAGSOL</t>
  </si>
  <si>
    <t>001</t>
  </si>
  <si>
    <t>CONTRATO DE GESTAO (ACAO 4655)</t>
  </si>
  <si>
    <t>Fomento</t>
  </si>
  <si>
    <t>Claudio Fabricio</t>
  </si>
  <si>
    <t>Alberto Yasuda</t>
  </si>
  <si>
    <t>USDE</t>
  </si>
  <si>
    <t>002</t>
  </si>
  <si>
    <t>CONTRATO DE GESTAO (ACAO 4172)</t>
  </si>
  <si>
    <t>Antonio Nunes</t>
  </si>
  <si>
    <t>DSS</t>
  </si>
  <si>
    <t>Alex Galhano</t>
  </si>
  <si>
    <t>003</t>
  </si>
  <si>
    <t>CONTRATO DE GESTAO (RECURSOS ADITIVADOS)</t>
  </si>
  <si>
    <t>RA</t>
  </si>
  <si>
    <t>Leandro Guimaraes</t>
  </si>
  <si>
    <t>005</t>
  </si>
  <si>
    <t>CONTRATO DE GESTAO (FUNDO SETORIAL)</t>
  </si>
  <si>
    <t>FNDCT</t>
  </si>
  <si>
    <t>Marcello de Jesus</t>
  </si>
  <si>
    <t>020</t>
  </si>
  <si>
    <t>CONTRATOS ASSOCIACAO</t>
  </si>
  <si>
    <t>Associacao</t>
  </si>
  <si>
    <t>Bruno Casanas</t>
  </si>
  <si>
    <t>Christian Miziara</t>
  </si>
  <si>
    <t>Daniele Sodre</t>
  </si>
  <si>
    <t>Davis Oliveira</t>
  </si>
  <si>
    <t>Erico Oliveira</t>
  </si>
  <si>
    <t>Graciela Machado</t>
  </si>
  <si>
    <t>Helder Vitorino</t>
  </si>
  <si>
    <t>Jean Faustino</t>
  </si>
  <si>
    <t>Luciana Batista</t>
  </si>
  <si>
    <t>Marcelino Cunha</t>
  </si>
  <si>
    <t>Marcia Denise</t>
  </si>
  <si>
    <t>Nirian Santos</t>
  </si>
  <si>
    <t>Olavo Calaca</t>
  </si>
  <si>
    <t>Patricia Machado</t>
  </si>
  <si>
    <t>Renato Duarte</t>
  </si>
  <si>
    <t>Rodrigo Azevedo</t>
  </si>
  <si>
    <t>Roosevelt Oliveira</t>
  </si>
  <si>
    <t>Yve Marcial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</si>
</sst>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 vertical="center"/>
    </xf>
    <xf numFmtId="44" fontId="3" fillId="0" borderId="0" xfId="0" applyNumberFormat="1" applyFont="1"/>
    <xf numFmtId="8" fontId="3" fillId="0" borderId="0" xfId="0" applyNumberFormat="1" applyFont="1"/>
    <xf numFmtId="44" fontId="3" fillId="0" borderId="0" xfId="1" applyFont="1" applyFill="1" applyBorder="1"/>
    <xf numFmtId="49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/>
  </cellXfs>
  <cellStyles count="2">
    <cellStyle name="Moeda" xfId="1" builtinId="4"/>
    <cellStyle name="Normal" xfId="0" builtinId="0"/>
  </cellStyles>
  <dxfs count="66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8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C1D40F5-4143-41C0-9730-74799AC41FA4}" autoFormatId="16" applyNumberFormats="0" applyBorderFormats="0" applyFontFormats="0" applyPatternFormats="0" applyAlignmentFormats="0" applyWidthHeightFormats="0">
  <queryTableRefresh nextId="5">
    <queryTableFields count="3">
      <queryTableField id="1" name="Conta Contábil" tableColumnId="1"/>
      <queryTableField id="2" name="Descrição da Conta Contábil" tableColumnId="2"/>
      <queryTableField id="4" name="Descrição do Grupo de Despes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9FF1EE6-48B9-4EAA-950E-90EAE0C0A2CE}" autoFormatId="16" applyNumberFormats="0" applyBorderFormats="0" applyFontFormats="0" applyPatternFormats="0" applyAlignmentFormats="0" applyWidthHeightFormats="0">
  <queryTableRefresh nextId="3">
    <queryTableFields count="2">
      <queryTableField id="1" name="Diretor Adjunto" tableColumnId="1"/>
      <queryTableField id="2" name="Diretoria Adjunta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6F3CE24C-8476-4F1B-B0AE-5E00BC50ECA2}" autoFormatId="16" applyNumberFormats="0" applyBorderFormats="0" applyFontFormats="0" applyPatternFormats="0" applyAlignmentFormats="0" applyWidthHeightFormats="0">
  <queryTableRefresh nextId="3">
    <queryTableFields count="2">
      <queryTableField id="1" name="Gerente" tableColumnId="1"/>
      <queryTableField id="2" name="Diretoria Adjunta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AD13B733-B188-4114-B1D6-BE678D558B9B}" autoFormatId="16" applyNumberFormats="0" applyBorderFormats="0" applyFontFormats="0" applyPatternFormats="0" applyAlignmentFormats="0" applyWidthHeightFormats="0">
  <queryTableRefresh nextId="4">
    <queryTableFields count="3">
      <queryTableField id="1" name="Código" tableColumnId="1"/>
      <queryTableField id="2" name="Nome" tableColumnId="2"/>
      <queryTableField id="3" name="Origem de Recurso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31D6A-557B-45CD-A7B3-B99B60CD7E50}" name="Tabela2" displayName="Tabela2" ref="A1:W11" totalsRowShown="0" headerRowDxfId="65" dataDxfId="64">
  <autoFilter ref="A1:W11" xr:uid="{A6A31D6A-557B-45CD-A7B3-B99B60CD7E50}"/>
  <tableColumns count="23">
    <tableColumn id="25" xr3:uid="{3292AB06-3696-4F1A-B151-DE0383CD6376}" name="Diretoria Adjunta" dataDxfId="63" totalsRowDxfId="62"/>
    <tableColumn id="21" xr3:uid="{D85C7ACA-0A8E-4B34-8130-7E60A91AA7A8}" name="Nº do Projeto" dataDxfId="61" totalsRowDxfId="60"/>
    <tableColumn id="22" xr3:uid="{75DC03CC-8582-4C18-BE74-EFA7C31FA0F5}" name="Descrição do Projeto" dataDxfId="59" totalsRowDxfId="58"/>
    <tableColumn id="23" xr3:uid="{96F75E4D-2D45-4B6F-AF53-E25615B479BA}" name="Origem de Recurso" dataDxfId="57" totalsRowDxfId="56"/>
    <tableColumn id="24" xr3:uid="{CD2786C7-D270-49D2-9A13-826BCD3414CB}" name="Gerente" dataDxfId="55" totalsRowDxfId="54"/>
    <tableColumn id="1" xr3:uid="{CBBE6CCD-A5E5-4D91-B4D5-0F7F311AE976}" name="Meta/EDT" dataDxfId="53" totalsRowDxfId="52"/>
    <tableColumn id="2" xr3:uid="{2301CDEC-BEB8-48C6-AEF0-8AF601BBA203}" name="Ação/Tarefa" dataDxfId="51" totalsRowDxfId="50"/>
    <tableColumn id="5" xr3:uid="{97014D5A-53F5-47E0-8137-3404A0318B32}" name="Grupo de Despesa" dataDxfId="49" totalsRowDxfId="48"/>
    <tableColumn id="3" xr3:uid="{FB18130F-A10B-4196-8521-87C47D268791}" name="Descrição da Conta Contábil" dataDxfId="47" totalsRowDxfId="46"/>
    <tableColumn id="6" xr3:uid="{DBFBF4D8-3578-41D5-BF15-5307AD2D1A4D}" name="Conta Contábil" dataDxfId="45" totalsRowDxfId="44">
      <calculatedColumnFormula>IF(Tabela2[[#This Row],[Descrição da Conta Contábil]]="","",_xlfn.XLOOKUP(Tabela2[[#This Row],[Descrição da Conta Contábil]],dim_ContaContábi_Grupo[Descrição da Conta Contábil],dim_ContaContábi_Grupo[Conta Contábil],""))</calculatedColumnFormula>
    </tableColumn>
    <tableColumn id="8" xr3:uid="{7213828E-1386-407A-9AF8-B2713D70F5D3}" name="janeiro" dataDxfId="43" totalsRowDxfId="42"/>
    <tableColumn id="9" xr3:uid="{E2AE8E4E-A929-42D9-A0DD-0EC3991F5351}" name="fevereiro" dataDxfId="41" totalsRowDxfId="40"/>
    <tableColumn id="10" xr3:uid="{3B702E0F-1BDB-4816-B2D8-15568DCD7CFC}" name="março" dataDxfId="39" totalsRowDxfId="38"/>
    <tableColumn id="11" xr3:uid="{75891790-CC01-4CA3-B9CA-1AEFB421F8EF}" name="abril" dataDxfId="37" totalsRowDxfId="36"/>
    <tableColumn id="12" xr3:uid="{13A6F40E-90A7-45AA-9ADE-5CADFD11C6A8}" name="maio" dataDxfId="35" totalsRowDxfId="34"/>
    <tableColumn id="13" xr3:uid="{86032999-2B3E-457E-B612-75B69A1B528F}" name="junho" dataDxfId="33" totalsRowDxfId="32"/>
    <tableColumn id="14" xr3:uid="{014A1B49-9BF8-4D12-99A8-CB140D16DC17}" name="julho" dataDxfId="31" totalsRowDxfId="30"/>
    <tableColumn id="15" xr3:uid="{BFBF58AB-8D78-4411-9AF0-2A15E776982D}" name="agosto" dataDxfId="29" totalsRowDxfId="28"/>
    <tableColumn id="16" xr3:uid="{BF7C46C2-3E78-402C-8742-F1C4579B0E4A}" name="setembro" dataDxfId="27" totalsRowDxfId="26"/>
    <tableColumn id="17" xr3:uid="{70F9F8DC-D1CB-426B-8518-6C3445FCDE01}" name="outubro" dataDxfId="25" totalsRowDxfId="24"/>
    <tableColumn id="18" xr3:uid="{50D422AF-B19B-442F-8495-8DBA73D23C4C}" name="novembro" dataDxfId="23" totalsRowDxfId="22"/>
    <tableColumn id="19" xr3:uid="{CABD1015-3DCA-47EB-8740-29242677405D}" name="dezembro" dataDxfId="21" totalsRowDxfId="20"/>
    <tableColumn id="20" xr3:uid="{4B8C2B44-09AF-4397-B904-6900BE8AB5E8}" name="Total" dataDxfId="19" totalsRowDxfId="18">
      <calculatedColumnFormula>SUM(Tabela2[[#This Row],[janeiro]]:Tabela2[[#This Row],[dezembro]])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73544-E53E-4A07-9F27-49AAA8044E7C}" name="dim_ContaContábi_Grupo" displayName="dim_ContaContábi_Grupo" ref="A1:C131" tableType="queryTable" totalsRowShown="0" headerRowDxfId="17" dataDxfId="16">
  <autoFilter ref="A1:C131" xr:uid="{62373544-E53E-4A07-9F27-49AAA8044E7C}"/>
  <tableColumns count="3">
    <tableColumn id="1" xr3:uid="{22CB1BAB-28DD-4AFF-AFAB-6ED0462E9CC9}" uniqueName="1" name="Conta Contábil" queryTableFieldId="1" dataDxfId="15"/>
    <tableColumn id="2" xr3:uid="{0B60E6DE-8AF8-4324-AE69-24F8AAB48492}" uniqueName="2" name="Descrição da Conta Contábil" queryTableFieldId="2" dataDxfId="14"/>
    <tableColumn id="4" xr3:uid="{61089687-D05E-41BB-977C-79F5A3A5169A}" uniqueName="4" name="Descrição do Grupo de Despesa" queryTableFieldId="4" dataDxfId="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1D2770-E19D-430A-929B-5C37E462C41B}" name="dim_DiretoriaAdjunta" displayName="dim_DiretoriaAdjunta" ref="A1:B6" tableType="queryTable" totalsRowShown="0" headerRowDxfId="12" dataDxfId="11">
  <autoFilter ref="A1:B6" xr:uid="{671D2770-E19D-430A-929B-5C37E462C41B}"/>
  <sortState xmlns:xlrd2="http://schemas.microsoft.com/office/spreadsheetml/2017/richdata2" ref="A2:B6">
    <sortCondition ref="B2:B6"/>
  </sortState>
  <tableColumns count="2">
    <tableColumn id="1" xr3:uid="{5308222E-2B1A-45C5-88A3-5B09025361DB}" uniqueName="1" name="Diretor Adjunto" queryTableFieldId="1" dataDxfId="10"/>
    <tableColumn id="2" xr3:uid="{325D1A93-CBE5-4B2B-9A9F-549508E90B7D}" uniqueName="2" name="Diretoria Adjunta" queryTableFieldId="2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F85090-775D-418F-94FA-DADDA93CA678}" name="dim_Gerente" displayName="dim_Gerente" ref="D1:E31" tableType="queryTable" totalsRowShown="0" headerRowDxfId="8" dataDxfId="7">
  <autoFilter ref="D1:E31" xr:uid="{01F85090-775D-418F-94FA-DADDA93CA678}"/>
  <sortState xmlns:xlrd2="http://schemas.microsoft.com/office/spreadsheetml/2017/richdata2" ref="D2:E31">
    <sortCondition ref="D2:D31"/>
  </sortState>
  <tableColumns count="2">
    <tableColumn id="1" xr3:uid="{80C3F5DB-EE1D-43A9-86C4-FFA8C185CC0A}" uniqueName="1" name="Gerente" queryTableFieldId="1" dataDxfId="6"/>
    <tableColumn id="2" xr3:uid="{6F48866C-5AF3-489A-98E6-2E02BCBD6876}" uniqueName="2" name="Diretoria Adjunta" queryTableFieldId="2" dataDxfId="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715E79-E866-4F7E-8CD7-145822810763}" name="dim_OrigemdeRecurso" displayName="dim_OrigemdeRecurso" ref="G1:I6" tableType="queryTable" totalsRowShown="0" headerRowDxfId="4" dataDxfId="3">
  <autoFilter ref="G1:I6" xr:uid="{03715E79-E866-4F7E-8CD7-145822810763}"/>
  <tableColumns count="3">
    <tableColumn id="1" xr3:uid="{A496BEF0-DD93-49AC-95EA-9D1CC7A98E00}" uniqueName="1" name="Código" queryTableFieldId="1" dataDxfId="2"/>
    <tableColumn id="2" xr3:uid="{29B4F7AE-2424-42BC-8827-5BB17ADABD7F}" uniqueName="2" name="Nome" queryTableFieldId="2" dataDxfId="1"/>
    <tableColumn id="3" xr3:uid="{274F4727-BBCA-4A32-A264-35DCC3300717}" uniqueName="3" name="Origem de Recurso" queryTableFieldId="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A88E-D180-46BC-8C7A-836B903BB489}">
  <dimension ref="A1:W14"/>
  <sheetViews>
    <sheetView showGridLines="0" tabSelected="1" zoomScale="90" zoomScaleNormal="90" workbookViewId="0">
      <pane ySplit="1" topLeftCell="A2" activePane="bottomLeft" state="frozen"/>
      <selection activeCell="G1" sqref="G1"/>
      <selection pane="bottomLeft" activeCell="D14" sqref="D14"/>
    </sheetView>
  </sheetViews>
  <sheetFormatPr defaultColWidth="8.6640625" defaultRowHeight="15" customHeight="1" x14ac:dyDescent="0.3"/>
  <cols>
    <col min="1" max="1" width="22.44140625" style="13" bestFit="1" customWidth="1"/>
    <col min="2" max="2" width="19.109375" style="2" bestFit="1" customWidth="1"/>
    <col min="3" max="3" width="26.33203125" style="2" bestFit="1" customWidth="1"/>
    <col min="4" max="4" width="24.109375" style="2" bestFit="1" customWidth="1"/>
    <col min="5" max="5" width="13.6640625" style="2" bestFit="1" customWidth="1"/>
    <col min="6" max="6" width="36.5546875" style="2" customWidth="1"/>
    <col min="7" max="7" width="39.33203125" style="2" customWidth="1"/>
    <col min="8" max="8" width="26.5546875" style="2" bestFit="1" customWidth="1"/>
    <col min="9" max="9" width="33.5546875" style="2" bestFit="1" customWidth="1"/>
    <col min="10" max="10" width="17.33203125" style="2" customWidth="1"/>
    <col min="11" max="11" width="16.33203125" style="2" bestFit="1" customWidth="1"/>
    <col min="12" max="13" width="14.6640625" style="2" bestFit="1" customWidth="1"/>
    <col min="14" max="14" width="16.6640625" style="2" bestFit="1" customWidth="1"/>
    <col min="15" max="15" width="14.6640625" style="2" bestFit="1" customWidth="1"/>
    <col min="16" max="16" width="16.33203125" style="2" bestFit="1" customWidth="1"/>
    <col min="17" max="22" width="14.6640625" style="2" bestFit="1" customWidth="1"/>
    <col min="23" max="23" width="15.33203125" style="2" customWidth="1"/>
    <col min="24" max="16384" width="8.6640625" style="2"/>
  </cols>
  <sheetData>
    <row r="1" spans="1:23" ht="58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5" customHeight="1" x14ac:dyDescent="0.3">
      <c r="A2" s="11"/>
      <c r="B2" s="12"/>
      <c r="C2" s="7"/>
      <c r="D2" s="10"/>
      <c r="E2" s="11"/>
      <c r="F2" s="8"/>
      <c r="G2" s="9"/>
      <c r="H2" s="11"/>
      <c r="I2" s="1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4.4" x14ac:dyDescent="0.3">
      <c r="A3" s="11"/>
      <c r="B3" s="12"/>
      <c r="C3" s="7"/>
      <c r="D3" s="10"/>
      <c r="E3" s="11"/>
      <c r="F3" s="8"/>
      <c r="G3" s="9"/>
      <c r="H3" s="11"/>
      <c r="I3" s="11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4" x14ac:dyDescent="0.3">
      <c r="A4" s="11"/>
      <c r="B4" s="12"/>
      <c r="C4" s="7"/>
      <c r="D4" s="10"/>
      <c r="E4" s="11"/>
      <c r="F4" s="8"/>
      <c r="G4" s="8"/>
      <c r="H4" s="11"/>
      <c r="I4" s="11"/>
      <c r="J4" s="13" t="str">
        <f>IF(Tabela2[[#This Row],[Descrição da Conta Contábil]]="","",_xlfn.XLOOKUP(Tabela2[[#This Row],[Descrição da Conta Contábil]],dim_ContaContábi_Grupo[Descrição da Conta Contábil],dim_ContaContábi_Grupo[Conta Contábil],""))</f>
        <v/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>
        <f>SUM(Tabela2[[#This Row],[janeiro]]:Tabela2[[#This Row],[dezembro]])</f>
        <v>0</v>
      </c>
    </row>
    <row r="5" spans="1:23" ht="14.4" x14ac:dyDescent="0.3">
      <c r="A5" s="11"/>
      <c r="B5" s="12"/>
      <c r="C5" s="7"/>
      <c r="D5" s="10"/>
      <c r="E5" s="11"/>
      <c r="F5" s="8"/>
      <c r="G5" s="8"/>
      <c r="H5" s="11"/>
      <c r="I5" s="11"/>
      <c r="J5" s="13" t="str">
        <f>IF(Tabela2[[#This Row],[Descrição da Conta Contábil]]="","",_xlfn.XLOOKUP(Tabela2[[#This Row],[Descrição da Conta Contábil]],dim_ContaContábi_Grupo[Descrição da Conta Contábil],dim_ContaContábi_Grupo[Conta Contábil],""))</f>
        <v/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f>SUM(Tabela2[[#This Row],[janeiro]]:Tabela2[[#This Row],[dezembro]])</f>
        <v>0</v>
      </c>
    </row>
    <row r="6" spans="1:23" ht="14.4" x14ac:dyDescent="0.3">
      <c r="A6" s="11"/>
      <c r="B6" s="12"/>
      <c r="C6" s="7"/>
      <c r="D6" s="10"/>
      <c r="E6" s="11"/>
      <c r="F6" s="8"/>
      <c r="G6" s="8"/>
      <c r="H6" s="11"/>
      <c r="I6" s="11"/>
      <c r="J6" s="13" t="str">
        <f>IF(Tabela2[[#This Row],[Descrição da Conta Contábil]]="","",_xlfn.XLOOKUP(Tabela2[[#This Row],[Descrição da Conta Contábil]],dim_ContaContábi_Grupo[Descrição da Conta Contábil],dim_ContaContábi_Grupo[Conta Contábil],""))</f>
        <v/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f>SUM(Tabela2[[#This Row],[janeiro]]:Tabela2[[#This Row],[dezembro]])</f>
        <v>0</v>
      </c>
    </row>
    <row r="7" spans="1:23" ht="14.4" x14ac:dyDescent="0.3">
      <c r="A7" s="11"/>
      <c r="B7" s="12"/>
      <c r="C7" s="7"/>
      <c r="D7" s="10"/>
      <c r="E7" s="11"/>
      <c r="F7" s="8"/>
      <c r="G7" s="9"/>
      <c r="H7" s="11"/>
      <c r="I7" s="11"/>
      <c r="J7" s="13" t="str">
        <f>IF(Tabela2[[#This Row],[Descrição da Conta Contábil]]="","",_xlfn.XLOOKUP(Tabela2[[#This Row],[Descrição da Conta Contábil]],dim_ContaContábi_Grupo[Descrição da Conta Contábil],dim_ContaContábi_Grupo[Conta Contábil],""))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f>SUM(Tabela2[[#This Row],[janeiro]]:Tabela2[[#This Row],[dezembro]])</f>
        <v>0</v>
      </c>
    </row>
    <row r="8" spans="1:23" ht="15" customHeight="1" x14ac:dyDescent="0.3">
      <c r="A8" s="11"/>
      <c r="B8" s="12"/>
      <c r="C8" s="7"/>
      <c r="D8" s="10"/>
      <c r="E8" s="11"/>
      <c r="F8" s="8"/>
      <c r="G8" s="8"/>
      <c r="H8" s="11"/>
      <c r="I8" s="11"/>
      <c r="J8" s="13" t="str">
        <f>IF(Tabela2[[#This Row],[Descrição da Conta Contábil]]="","",_xlfn.XLOOKUP(Tabela2[[#This Row],[Descrição da Conta Contábil]],dim_ContaContábi_Grupo[Descrição da Conta Contábil],dim_ContaContábi_Grupo[Conta Contábil],""))</f>
        <v/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f>SUM(Tabela2[[#This Row],[janeiro]]:Tabela2[[#This Row],[dezembro]])</f>
        <v>0</v>
      </c>
    </row>
    <row r="9" spans="1:23" ht="14.4" x14ac:dyDescent="0.3">
      <c r="A9" s="11"/>
      <c r="B9" s="12"/>
      <c r="C9" s="7"/>
      <c r="D9" s="10"/>
      <c r="E9" s="11"/>
      <c r="F9" s="8"/>
      <c r="G9" s="8"/>
      <c r="H9" s="11"/>
      <c r="I9" s="11"/>
      <c r="J9" s="13" t="str">
        <f>IF(Tabela2[[#This Row],[Descrição da Conta Contábil]]="","",_xlfn.XLOOKUP(Tabela2[[#This Row],[Descrição da Conta Contábil]],dim_ContaContábi_Grupo[Descrição da Conta Contábil],dim_ContaContábi_Grupo[Conta Contábil],""))</f>
        <v/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f>SUM(Tabela2[[#This Row],[janeiro]]:Tabela2[[#This Row],[dezembro]])</f>
        <v>0</v>
      </c>
    </row>
    <row r="10" spans="1:23" ht="14.4" x14ac:dyDescent="0.3">
      <c r="A10" s="11"/>
      <c r="B10" s="12"/>
      <c r="C10" s="7"/>
      <c r="D10" s="10"/>
      <c r="E10" s="11"/>
      <c r="F10" s="8"/>
      <c r="G10" s="8"/>
      <c r="H10" s="11"/>
      <c r="I10" s="11"/>
      <c r="J10" s="13" t="str">
        <f>IF(Tabela2[[#This Row],[Descrição da Conta Contábil]]="","",_xlfn.XLOOKUP(Tabela2[[#This Row],[Descrição da Conta Contábil]],dim_ContaContábi_Grupo[Descrição da Conta Contábil],dim_ContaContábi_Grupo[Conta Contábil],""))</f>
        <v/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f>SUM(Tabela2[[#This Row],[janeiro]]:Tabela2[[#This Row],[dezembro]])</f>
        <v>0</v>
      </c>
    </row>
    <row r="11" spans="1:23" ht="14.4" x14ac:dyDescent="0.3">
      <c r="A11" s="11"/>
      <c r="B11" s="12"/>
      <c r="C11" s="7"/>
      <c r="D11" s="10"/>
      <c r="E11" s="11"/>
      <c r="F11" s="8"/>
      <c r="G11" s="8"/>
      <c r="H11" s="11"/>
      <c r="I11" s="11"/>
      <c r="J11" s="13" t="str">
        <f>IF(Tabela2[[#This Row],[Descrição da Conta Contábil]]="","",_xlfn.XLOOKUP(Tabela2[[#This Row],[Descrição da Conta Contábil]],dim_ContaContábi_Grupo[Descrição da Conta Contábil],dim_ContaContábi_Grupo[Conta Contábil],""))</f>
        <v/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f>SUM(Tabela2[[#This Row],[janeiro]]:Tabela2[[#This Row],[dezembro]])</f>
        <v>0</v>
      </c>
    </row>
    <row r="12" spans="1:23" ht="14.4" x14ac:dyDescent="0.3">
      <c r="K12" s="6"/>
      <c r="O12" s="5"/>
    </row>
    <row r="13" spans="1:23" ht="14.4" x14ac:dyDescent="0.3">
      <c r="K13" s="4"/>
      <c r="O13" s="4"/>
      <c r="T13" s="4"/>
    </row>
    <row r="14" spans="1:23" ht="14.4" x14ac:dyDescent="0.3">
      <c r="K14" s="4"/>
      <c r="T14" s="4"/>
    </row>
  </sheetData>
  <phoneticPr fontId="2" type="noConversion"/>
  <dataValidations count="5">
    <dataValidation type="list" allowBlank="1" showInputMessage="1" showErrorMessage="1" sqref="H2:H11" xr:uid="{96614313-9CD5-475F-99A0-CEEC6E441A1B}">
      <formula1>Grupo_de_Despesa</formula1>
    </dataValidation>
    <dataValidation type="list" allowBlank="1" showInputMessage="1" showErrorMessage="1" sqref="A2:A11" xr:uid="{3E020F3A-BD8B-4F49-A098-EA8ACB22F7E8}">
      <formula1>Diretoria_Adjunta</formula1>
    </dataValidation>
    <dataValidation type="list" allowBlank="1" showInputMessage="1" showErrorMessage="1" sqref="E2:E11" xr:uid="{BA2F4E68-59CD-4B4C-9369-E963983E4F4E}">
      <formula1>Gerente</formula1>
    </dataValidation>
    <dataValidation type="list" allowBlank="1" showInputMessage="1" showErrorMessage="1" sqref="D2:D11" xr:uid="{FCAAFACA-B0CF-4E2E-9F2E-53D12B15881E}">
      <formula1>Origem_de_Recurso</formula1>
    </dataValidation>
    <dataValidation type="list" allowBlank="1" showInputMessage="1" showErrorMessage="1" sqref="I2:I11" xr:uid="{CA0E3356-4184-4CBC-AE20-347B1DBD4818}">
      <formula1>INDIRECT(SUBSTITUTE($H2," ","_"))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7A60-02B5-47E9-BB85-5C897D762BB9}">
  <dimension ref="A1:U131"/>
  <sheetViews>
    <sheetView showGridLines="0" workbookViewId="0">
      <selection activeCell="H15" sqref="H15"/>
    </sheetView>
  </sheetViews>
  <sheetFormatPr defaultColWidth="8.88671875" defaultRowHeight="13.8" x14ac:dyDescent="0.3"/>
  <cols>
    <col min="1" max="1" width="16" style="14" bestFit="1" customWidth="1"/>
    <col min="2" max="2" width="48" style="14" bestFit="1" customWidth="1"/>
    <col min="3" max="3" width="30.6640625" style="14" bestFit="1" customWidth="1"/>
    <col min="4" max="4" width="10" style="14" customWidth="1"/>
    <col min="5" max="5" width="26.6640625" style="14" bestFit="1" customWidth="1"/>
    <col min="6" max="6" width="26.5546875" style="14" bestFit="1" customWidth="1"/>
    <col min="7" max="7" width="13.33203125" style="14" bestFit="1" customWidth="1"/>
    <col min="8" max="8" width="31.6640625" style="14" bestFit="1" customWidth="1"/>
    <col min="9" max="9" width="9.33203125" style="14" bestFit="1" customWidth="1"/>
    <col min="10" max="10" width="35.44140625" style="14" bestFit="1" customWidth="1"/>
    <col min="11" max="11" width="20.33203125" style="14" bestFit="1" customWidth="1"/>
    <col min="12" max="12" width="18" style="14" bestFit="1" customWidth="1"/>
    <col min="13" max="13" width="39.6640625" style="14" bestFit="1" customWidth="1"/>
    <col min="14" max="14" width="28" style="14" bestFit="1" customWidth="1"/>
    <col min="15" max="15" width="42.33203125" style="14" bestFit="1" customWidth="1"/>
    <col min="16" max="16" width="31.6640625" style="14" bestFit="1" customWidth="1"/>
    <col min="17" max="17" width="48" style="14" bestFit="1" customWidth="1"/>
    <col min="18" max="18" width="19.33203125" style="14" bestFit="1" customWidth="1"/>
    <col min="19" max="19" width="33.5546875" style="14" bestFit="1" customWidth="1"/>
    <col min="20" max="20" width="29.5546875" style="14" bestFit="1" customWidth="1"/>
    <col min="21" max="16384" width="8.88671875" style="14"/>
  </cols>
  <sheetData>
    <row r="1" spans="1:21" x14ac:dyDescent="0.3">
      <c r="A1" s="14" t="s">
        <v>9</v>
      </c>
      <c r="B1" s="14" t="s">
        <v>8</v>
      </c>
      <c r="C1" s="14" t="s">
        <v>27</v>
      </c>
      <c r="E1" s="14" t="s">
        <v>7</v>
      </c>
      <c r="F1" s="14" t="str" cm="1">
        <f t="array" ref="F1:T1">TRANSPOSE(_xlfn.ANCHORARRAY(E2))</f>
        <v>Benfeitorias e Obras proprias</v>
      </c>
      <c r="G1" s="14" t="str">
        <v>Cabos Opticos</v>
      </c>
      <c r="H1" s="14" t="str">
        <v>Conectividade</v>
      </c>
      <c r="I1" s="14" t="str">
        <v>Hardware</v>
      </c>
      <c r="J1" s="14" t="str">
        <v>Impostos e Taxas</v>
      </c>
      <c r="K1" s="14" t="str">
        <v>Maquinas e Aparelhos</v>
      </c>
      <c r="L1" s="14" t="str">
        <v>Moveis e Utensilios</v>
      </c>
      <c r="M1" s="14" t="str">
        <v>Operacionais Administrativos</v>
      </c>
      <c r="N1" s="14" t="str">
        <v>Pessoal</v>
      </c>
      <c r="O1" s="14" t="str">
        <v>Seguros</v>
      </c>
      <c r="P1" s="14" t="str">
        <v>Servicos PF</v>
      </c>
      <c r="Q1" s="14" t="str">
        <v>Servicos PJ</v>
      </c>
      <c r="R1" s="14" t="str">
        <v>Software</v>
      </c>
      <c r="S1" s="14" t="str">
        <v>Viagens Internacionais</v>
      </c>
      <c r="T1" s="14" t="str">
        <v>Viagens Nacionais</v>
      </c>
    </row>
    <row r="2" spans="1:21" x14ac:dyDescent="0.3">
      <c r="A2" s="14">
        <v>51010110</v>
      </c>
      <c r="B2" s="14" t="s">
        <v>28</v>
      </c>
      <c r="C2" s="14" t="s">
        <v>29</v>
      </c>
      <c r="E2" s="14" t="str" cm="1">
        <f t="array" ref="E2:E16">_xlfn._xlws.SORT(_xlfn.UNIQUE(_xlfn._xlws.FILTER(dim_ContaContábi_Grupo[Descrição do Grupo de Despesa],dim_ContaContábi_Grupo[Descrição do Grupo de Despesa]&lt;&gt;"")))</f>
        <v>Benfeitorias e Obras proprias</v>
      </c>
      <c r="F2" s="14" t="str" cm="1">
        <f t="array" ref="F2">IF(F1="","",_xlfn._xlws.SORT(_xlfn.UNIQUE(_xlfn._xlws.FILTER(dim_ContaContábi_Grupo[Descrição da Conta Contábil],dim_ContaContábi_Grupo[Descrição do Grupo de Despesa]=F1,""))))</f>
        <v>Benfeitorias e Obras Proprias</v>
      </c>
      <c r="G2" s="14" t="str" cm="1">
        <f t="array" ref="G2">IF(G1="","",_xlfn._xlws.SORT(_xlfn.UNIQUE(_xlfn._xlws.FILTER(dim_ContaContábi_Grupo[Descrição da Conta Contábil],dim_ContaContábi_Grupo[Descrição do Grupo de Despesa]=G1,""))))</f>
        <v>Cabos Opticos</v>
      </c>
      <c r="H2" s="14" t="str" cm="1">
        <f t="array" ref="H2:H4">IF(H1="","",_xlfn._xlws.SORT(_xlfn.UNIQUE(_xlfn._xlws.FILTER(dim_ContaContábi_Grupo[Descrição da Conta Contábil],dim_ContaContábi_Grupo[Descrição do Grupo de Despesa]=H1,""))))</f>
        <v>Conectividade Internacional</v>
      </c>
      <c r="I2" s="14" t="str" cm="1">
        <f t="array" ref="I2">IF(I1="","",_xlfn._xlws.SORT(_xlfn.UNIQUE(_xlfn._xlws.FILTER(dim_ContaContábi_Grupo[Descrição da Conta Contábil],dim_ContaContábi_Grupo[Descrição do Grupo de Despesa]=I1,""))))</f>
        <v>Hardware</v>
      </c>
      <c r="J2" s="14" t="str" cm="1">
        <f t="array" ref="J2:J13">IF(J1="","",_xlfn._xlws.SORT(_xlfn.UNIQUE(_xlfn._xlws.FILTER(dim_ContaContábi_Grupo[Descrição da Conta Contábil],dim_ContaContábi_Grupo[Descrição do Grupo de Despesa]=J1,""))))</f>
        <v>Apropriacao de Juros</v>
      </c>
      <c r="K2" s="14" t="str" cm="1">
        <f t="array" ref="K2:K3">IF(K1="","",_xlfn._xlws.SORT(_xlfn.UNIQUE(_xlfn._xlws.FILTER(dim_ContaContábi_Grupo[Descrição da Conta Contábil],dim_ContaContábi_Grupo[Descrição do Grupo de Despesa]=K1,""))))</f>
        <v>Cabos Opticos</v>
      </c>
      <c r="L2" s="14" t="str" cm="1">
        <f t="array" ref="L2">IF(L1="","",_xlfn._xlws.SORT(_xlfn.UNIQUE(_xlfn._xlws.FILTER(dim_ContaContábi_Grupo[Descrição da Conta Contábil],dim_ContaContábi_Grupo[Descrição do Grupo de Despesa]=L1,""))))</f>
        <v>Moveis e Utensilios</v>
      </c>
      <c r="M2" s="14" t="str" cm="1">
        <f t="array" ref="M2:M40">IF(M1="","",_xlfn._xlws.SORT(_xlfn.UNIQUE(_xlfn._xlws.FILTER(dim_ContaContábi_Grupo[Descrição da Conta Contábil],dim_ContaContábi_Grupo[Descrição do Grupo de Despesa]=M1,""))))</f>
        <v>Agua e Esgoto</v>
      </c>
      <c r="N2" s="14" t="str" cm="1">
        <f t="array" ref="N2:N28">IF(N1="","",_xlfn._xlws.SORT(_xlfn.UNIQUE(_xlfn._xlws.FILTER(dim_ContaContábi_Grupo[Descrição da Conta Contábil],dim_ContaContábi_Grupo[Descrição do Grupo de Despesa]=N1,""))))</f>
        <v>13º Salario</v>
      </c>
      <c r="O2" s="14" t="str" cm="1">
        <f t="array" ref="O2:O3">IF(O1="","",_xlfn._xlws.SORT(_xlfn.UNIQUE(_xlfn._xlws.FILTER(dim_ContaContábi_Grupo[Descrição da Conta Contábil],dim_ContaContábi_Grupo[Descrição do Grupo de Despesa]=O1,""))))</f>
        <v>Equipamentos de Informatica e Rede (seguros)</v>
      </c>
      <c r="P2" s="14" t="str" cm="1">
        <f t="array" ref="P2">IF(P1="","",_xlfn._xlws.SORT(_xlfn.UNIQUE(_xlfn._xlws.FILTER(dim_ContaContábi_Grupo[Descrição da Conta Contábil],dim_ContaContábi_Grupo[Descrição do Grupo de Despesa]=P1,""))))</f>
        <v>Prestacao de Servicos Pessoa Fisica</v>
      </c>
      <c r="Q2" s="14" t="str" cm="1">
        <f t="array" ref="Q2:Q23">IF(Q1="","",_xlfn._xlws.SORT(_xlfn.UNIQUE(_xlfn._xlws.FILTER(dim_ContaContábi_Grupo[Descrição da Conta Contábil],dim_ContaContábi_Grupo[Descrição do Grupo de Despesa]=Q1,""))))</f>
        <v>Assessoria de Imprensa</v>
      </c>
      <c r="R2" s="14" t="str" cm="1">
        <f t="array" ref="R2:R3">IF(R1="","",_xlfn._xlws.SORT(_xlfn.UNIQUE(_xlfn._xlws.FILTER(dim_ContaContábi_Grupo[Descrição da Conta Contábil],dim_ContaContábi_Grupo[Descrição do Grupo de Despesa]=R1,""))))</f>
        <v>Extensao de Garantia</v>
      </c>
      <c r="S2" s="14" t="str" cm="1">
        <f t="array" ref="S2:S8">IF(S1="","",_xlfn._xlws.SORT(_xlfn.UNIQUE(_xlfn._xlws.FILTER(dim_ContaContábi_Grupo[Descrição da Conta Contábil],dim_ContaContábi_Grupo[Descrição do Grupo de Despesa]=S1,""))))</f>
        <v>Alimentacao - Viagens Internacionais</v>
      </c>
      <c r="T2" s="14" t="str" cm="1">
        <f t="array" ref="T2:T10">IF(T1="","",_xlfn._xlws.SORT(_xlfn.UNIQUE(_xlfn._xlws.FILTER(dim_ContaContábi_Grupo[Descrição da Conta Contábil],dim_ContaContábi_Grupo[Descrição do Grupo de Despesa]=T1,""))))</f>
        <v>Agenciamento/Taxas de Viagens</v>
      </c>
      <c r="U2" s="14" t="str" cm="1">
        <f t="array" ref="U2">IF(U1="","",_xlfn._xlws.SORT(_xlfn.UNIQUE(_xlfn._xlws.FILTER(dim_ContaContábi_Grupo[Descrição do Grupo de Despesa],dim_ContaContábi_Grupo[Conta Contábil]=U1,""))))</f>
        <v/>
      </c>
    </row>
    <row r="3" spans="1:21" x14ac:dyDescent="0.3">
      <c r="A3" s="14">
        <v>51030508</v>
      </c>
      <c r="B3" s="14" t="s">
        <v>30</v>
      </c>
      <c r="C3" s="14" t="s">
        <v>31</v>
      </c>
      <c r="E3" s="14" t="str">
        <v>Cabos Opticos</v>
      </c>
      <c r="H3" s="14" t="str">
        <v>Conectividade Nacional</v>
      </c>
      <c r="J3" s="14" t="str">
        <v>Cofins s/ Prest. Servicos</v>
      </c>
      <c r="K3" s="14" t="str">
        <v>Maquinas e Aparelhos</v>
      </c>
      <c r="M3" s="14" t="str">
        <v>Alugueis Matriz - RJ</v>
      </c>
      <c r="N3" s="14" t="str">
        <v>Assistencia Medica</v>
      </c>
      <c r="O3" s="14" t="str">
        <v>Seguro Empresarial</v>
      </c>
      <c r="Q3" s="14" t="str">
        <v>Assessoria/Consultoria em Informatica</v>
      </c>
      <c r="R3" s="14" t="str">
        <v>Software</v>
      </c>
      <c r="S3" s="14" t="str">
        <v>Diarias - Internacionais</v>
      </c>
      <c r="T3" s="14" t="str">
        <v>Alimentacao</v>
      </c>
    </row>
    <row r="4" spans="1:21" x14ac:dyDescent="0.3">
      <c r="A4" s="14">
        <v>51030501</v>
      </c>
      <c r="B4" s="14" t="s">
        <v>32</v>
      </c>
      <c r="C4" s="14" t="s">
        <v>31</v>
      </c>
      <c r="E4" s="14" t="str">
        <v>Conectividade</v>
      </c>
      <c r="H4" s="14" t="str">
        <v>Fornecedores Contratos - TELECOM</v>
      </c>
      <c r="J4" s="14" t="str">
        <v>Contribuicoes de Associacoes/Filiacoes</v>
      </c>
      <c r="M4" s="14" t="str">
        <v>Aluguel Bens Imoveis - Projeto</v>
      </c>
      <c r="N4" s="14" t="str">
        <v>Assistencia Odontologica</v>
      </c>
      <c r="Q4" s="14" t="str">
        <v>Auditoria</v>
      </c>
      <c r="S4" s="14" t="str">
        <v>Hospedagem - Internacional</v>
      </c>
      <c r="T4" s="14" t="str">
        <v>Aluguel de Veiculos</v>
      </c>
    </row>
    <row r="5" spans="1:21" x14ac:dyDescent="0.3">
      <c r="A5" s="14">
        <v>51030101</v>
      </c>
      <c r="B5" s="14" t="s">
        <v>33</v>
      </c>
      <c r="C5" s="14" t="s">
        <v>25</v>
      </c>
      <c r="E5" s="14" t="str">
        <v>Hardware</v>
      </c>
      <c r="J5" s="14" t="str">
        <v>Descontos Concedidos</v>
      </c>
      <c r="M5" s="14" t="str">
        <v>Aluguel de Bens Moveis</v>
      </c>
      <c r="N5" s="14" t="str">
        <v>Auxilio Alimentacao / Refeicao</v>
      </c>
      <c r="Q5" s="14" t="str">
        <v>Consultoria / Assessoria - ESR</v>
      </c>
      <c r="S5" s="14" t="str">
        <v>Passagens Aereas - Internacionais</v>
      </c>
      <c r="T5" s="14" t="str">
        <v>Diarias</v>
      </c>
    </row>
    <row r="6" spans="1:21" x14ac:dyDescent="0.3">
      <c r="A6" s="14">
        <v>51030509</v>
      </c>
      <c r="B6" s="14" t="s">
        <v>34</v>
      </c>
      <c r="C6" s="14" t="s">
        <v>31</v>
      </c>
      <c r="E6" s="14" t="str">
        <v>Impostos e Taxas</v>
      </c>
      <c r="J6" s="14" t="str">
        <v>ICMS-DIFAL</v>
      </c>
      <c r="M6" s="14" t="str">
        <v>Aluguel de Maq. e Equip.</v>
      </c>
      <c r="N6" s="14" t="str">
        <v>Bolsistas</v>
      </c>
      <c r="Q6" s="14" t="str">
        <v>Consultoria em Projetos</v>
      </c>
      <c r="S6" s="14" t="str">
        <v>Representacao - Internacional</v>
      </c>
      <c r="T6" s="14" t="str">
        <v>Hospedagem</v>
      </c>
    </row>
    <row r="7" spans="1:21" x14ac:dyDescent="0.3">
      <c r="A7" s="14">
        <v>51040128</v>
      </c>
      <c r="B7" s="14" t="s">
        <v>35</v>
      </c>
      <c r="C7" s="14" t="s">
        <v>23</v>
      </c>
      <c r="E7" s="14" t="str">
        <v>Maquinas e Aparelhos</v>
      </c>
      <c r="J7" s="14" t="str">
        <v>Impostos e Taxas</v>
      </c>
      <c r="M7" s="14" t="str">
        <v>Aluguel Filial - CP</v>
      </c>
      <c r="N7" s="14" t="str">
        <v>Complemento Auxilio Doenca</v>
      </c>
      <c r="Q7" s="14" t="str">
        <v>Consultoria Juridica</v>
      </c>
      <c r="S7" s="14" t="str">
        <v>Seguro Viagem - Internacional</v>
      </c>
      <c r="T7" s="14" t="str">
        <v>Passagens Aereas</v>
      </c>
    </row>
    <row r="8" spans="1:21" x14ac:dyDescent="0.3">
      <c r="A8" s="14">
        <v>51040149</v>
      </c>
      <c r="B8" s="14" t="s">
        <v>36</v>
      </c>
      <c r="C8" s="14" t="s">
        <v>23</v>
      </c>
      <c r="E8" s="14" t="str">
        <v>Moveis e Utensilios</v>
      </c>
      <c r="J8" s="14" t="str">
        <v>IOF</v>
      </c>
      <c r="M8" s="14" t="str">
        <v>Aluguel Filial - DF</v>
      </c>
      <c r="N8" s="14" t="str">
        <v>Demais Auxilios</v>
      </c>
      <c r="Q8" s="14" t="str">
        <v>Consultoria/Assessoria</v>
      </c>
      <c r="S8" s="14" t="str">
        <v>Transporte/Translado - Internacional</v>
      </c>
      <c r="T8" s="14" t="str">
        <v>Representacao</v>
      </c>
    </row>
    <row r="9" spans="1:21" x14ac:dyDescent="0.3">
      <c r="A9" s="14">
        <v>51010502</v>
      </c>
      <c r="B9" s="14" t="s">
        <v>37</v>
      </c>
      <c r="C9" s="14" t="s">
        <v>29</v>
      </c>
      <c r="E9" s="14" t="str">
        <v>Operacionais Administrativos</v>
      </c>
      <c r="J9" s="14" t="str">
        <v>IR s/Servico Exterior</v>
      </c>
      <c r="M9" s="14" t="str">
        <v>Aluguel Infra Estrutura Optica</v>
      </c>
      <c r="N9" s="14" t="str">
        <v>Estagiarios</v>
      </c>
      <c r="Q9" s="14" t="str">
        <v>Contabilidade, inclusive servicos tecnicos e auxiliares</v>
      </c>
      <c r="T9" s="14" t="str">
        <v>Seguro Viagem</v>
      </c>
    </row>
    <row r="10" spans="1:21" x14ac:dyDescent="0.3">
      <c r="A10" s="14">
        <v>51010515</v>
      </c>
      <c r="B10" s="14" t="s">
        <v>38</v>
      </c>
      <c r="C10" s="14" t="s">
        <v>29</v>
      </c>
      <c r="E10" s="14" t="str">
        <v>Pessoal</v>
      </c>
      <c r="J10" s="14" t="str">
        <v>IRRF s/Aplicacao Financeira</v>
      </c>
      <c r="M10" s="14" t="str">
        <v>Condominio Filial - CP</v>
      </c>
      <c r="N10" s="14" t="str">
        <v>Ferias</v>
      </c>
      <c r="Q10" s="14" t="str">
        <v>Convenio de Cooperacao Academica</v>
      </c>
      <c r="T10" s="14" t="str">
        <v>Transporte</v>
      </c>
    </row>
    <row r="11" spans="1:21" x14ac:dyDescent="0.3">
      <c r="A11" s="14">
        <v>51010503</v>
      </c>
      <c r="B11" s="14" t="s">
        <v>39</v>
      </c>
      <c r="C11" s="14" t="s">
        <v>29</v>
      </c>
      <c r="E11" s="14" t="str">
        <v>Seguros</v>
      </c>
      <c r="J11" s="14" t="str">
        <v>ISS s/ Movimento Economico</v>
      </c>
      <c r="M11" s="14" t="str">
        <v>Condominio Filial - DF</v>
      </c>
      <c r="N11" s="14" t="str">
        <v>Fundo de Garantia - FGTS</v>
      </c>
      <c r="Q11" s="14" t="str">
        <v>Convenio de Cooperacao Tecnica</v>
      </c>
    </row>
    <row r="12" spans="1:21" x14ac:dyDescent="0.3">
      <c r="A12" s="14">
        <v>51010601</v>
      </c>
      <c r="B12" s="14" t="s">
        <v>40</v>
      </c>
      <c r="C12" s="14" t="s">
        <v>29</v>
      </c>
      <c r="E12" s="14" t="str">
        <v>Servicos PF</v>
      </c>
      <c r="J12" s="14" t="str">
        <v>Juros e Multa</v>
      </c>
      <c r="M12" s="14" t="str">
        <v>Condominio Matriz - RJ</v>
      </c>
      <c r="N12" s="14" t="str">
        <v>Gratificacoes</v>
      </c>
      <c r="Q12" s="14" t="str">
        <v>ESR</v>
      </c>
    </row>
    <row r="13" spans="1:21" x14ac:dyDescent="0.3">
      <c r="A13" s="14">
        <v>51030901</v>
      </c>
      <c r="B13" s="14" t="s">
        <v>41</v>
      </c>
      <c r="C13" s="14" t="s">
        <v>42</v>
      </c>
      <c r="E13" s="14" t="str">
        <v>Servicos PJ</v>
      </c>
      <c r="J13" s="14" t="str">
        <v>Tarifas Bancarias</v>
      </c>
      <c r="M13" s="14" t="str">
        <v>Conducao, Transporte e Estacionamento</v>
      </c>
      <c r="N13" s="14" t="str">
        <v>Horas Extras</v>
      </c>
      <c r="Q13" s="14" t="str">
        <v>Instalacao, Manutencao e Reparo de Equip</v>
      </c>
    </row>
    <row r="14" spans="1:21" x14ac:dyDescent="0.3">
      <c r="A14" s="14">
        <v>13010107</v>
      </c>
      <c r="B14" s="14" t="s">
        <v>41</v>
      </c>
      <c r="C14" s="14" t="s">
        <v>41</v>
      </c>
      <c r="E14" s="14" t="str">
        <v>Software</v>
      </c>
      <c r="M14" s="14" t="str">
        <v>Correios, Malotes e Remessa de Documento</v>
      </c>
      <c r="N14" s="14" t="str">
        <v>Outras Despesas com Pessoal</v>
      </c>
      <c r="Q14" s="14" t="str">
        <v>Licenca e Manutencao de Uso de Software</v>
      </c>
    </row>
    <row r="15" spans="1:21" x14ac:dyDescent="0.3">
      <c r="A15" s="14">
        <v>51050103</v>
      </c>
      <c r="B15" s="14" t="s">
        <v>43</v>
      </c>
      <c r="C15" s="14" t="s">
        <v>44</v>
      </c>
      <c r="E15" s="14" t="str">
        <v>Viagens Internacionais</v>
      </c>
      <c r="M15" s="14" t="str">
        <v>Despesas c/Fretes</v>
      </c>
      <c r="N15" s="14" t="str">
        <v>Pensao Alimentar</v>
      </c>
      <c r="Q15" s="14" t="str">
        <v>Manutencao e Reparos (Equi/Mob)</v>
      </c>
    </row>
    <row r="16" spans="1:21" x14ac:dyDescent="0.3">
      <c r="A16" s="14">
        <v>51010504</v>
      </c>
      <c r="B16" s="14" t="s">
        <v>45</v>
      </c>
      <c r="C16" s="14" t="s">
        <v>29</v>
      </c>
      <c r="E16" s="14" t="str">
        <v>Viagens Nacionais</v>
      </c>
      <c r="M16" s="14" t="str">
        <v>Despesas com Cartorios</v>
      </c>
      <c r="N16" s="14" t="str">
        <v>PIS s/Folha de Pagamento</v>
      </c>
      <c r="Q16" s="14" t="str">
        <v>Outras Despesas com Servicos</v>
      </c>
    </row>
    <row r="17" spans="1:17" x14ac:dyDescent="0.3">
      <c r="A17" s="14">
        <v>51030406</v>
      </c>
      <c r="B17" s="14" t="s">
        <v>46</v>
      </c>
      <c r="C17" s="14" t="s">
        <v>25</v>
      </c>
      <c r="M17" s="14" t="str">
        <v>Despesas Legais e Judiciais</v>
      </c>
      <c r="N17" s="14" t="str">
        <v>Premio de Desempenho</v>
      </c>
      <c r="Q17" s="14" t="str">
        <v>Serv de Traducao e Digitacao</v>
      </c>
    </row>
    <row r="18" spans="1:17" x14ac:dyDescent="0.3">
      <c r="A18" s="14">
        <v>51030404</v>
      </c>
      <c r="B18" s="14" t="s">
        <v>47</v>
      </c>
      <c r="C18" s="14" t="s">
        <v>25</v>
      </c>
      <c r="M18" s="14" t="str">
        <v>Energia Eletrica - CDCS</v>
      </c>
      <c r="N18" s="14" t="str">
        <v>Previdencia Social - INSS</v>
      </c>
      <c r="Q18" s="14" t="str">
        <v>Servico de Obra Civil</v>
      </c>
    </row>
    <row r="19" spans="1:17" x14ac:dyDescent="0.3">
      <c r="A19" s="14">
        <v>51030102</v>
      </c>
      <c r="B19" s="14" t="s">
        <v>48</v>
      </c>
      <c r="C19" s="14" t="s">
        <v>25</v>
      </c>
      <c r="M19" s="14" t="str">
        <v>Energia Eletrica Filial - CP</v>
      </c>
      <c r="N19" s="14" t="str">
        <v>Provisao - 13ºSalario</v>
      </c>
      <c r="Q19" s="14" t="str">
        <v>Servico Especializados - Eventos</v>
      </c>
    </row>
    <row r="20" spans="1:17" x14ac:dyDescent="0.3">
      <c r="A20" s="14">
        <v>51040120</v>
      </c>
      <c r="B20" s="14" t="s">
        <v>49</v>
      </c>
      <c r="C20" s="14" t="s">
        <v>50</v>
      </c>
      <c r="M20" s="14" t="str">
        <v>Energia Eletrica Filial - DF</v>
      </c>
      <c r="N20" s="14" t="str">
        <v>Provisao - Ferias</v>
      </c>
      <c r="Q20" s="14" t="str">
        <v>Servico Hospedagem - Eventos</v>
      </c>
    </row>
    <row r="21" spans="1:17" x14ac:dyDescent="0.3">
      <c r="A21" s="14">
        <v>51040111</v>
      </c>
      <c r="B21" s="14" t="s">
        <v>51</v>
      </c>
      <c r="C21" s="14" t="s">
        <v>23</v>
      </c>
      <c r="M21" s="14" t="str">
        <v>Energia Eletrica Matriz - RJ</v>
      </c>
      <c r="N21" s="14" t="str">
        <v>Provisao FGTS - 13ºSalario</v>
      </c>
      <c r="Q21" s="14" t="str">
        <v>Servicos Aduaneiros</v>
      </c>
    </row>
    <row r="22" spans="1:17" x14ac:dyDescent="0.3">
      <c r="A22" s="14">
        <v>51040148</v>
      </c>
      <c r="B22" s="14" t="s">
        <v>52</v>
      </c>
      <c r="C22" s="14" t="s">
        <v>23</v>
      </c>
      <c r="M22" s="14" t="str">
        <v>Filmagem</v>
      </c>
      <c r="N22" s="14" t="str">
        <v>Provisao FGTS s/Ferias</v>
      </c>
      <c r="Q22" s="14" t="str">
        <v>Terceirizacao de Mao de Obra</v>
      </c>
    </row>
    <row r="23" spans="1:17" x14ac:dyDescent="0.3">
      <c r="A23" s="14">
        <v>51040110</v>
      </c>
      <c r="B23" s="14" t="s">
        <v>53</v>
      </c>
      <c r="C23" s="14" t="s">
        <v>23</v>
      </c>
      <c r="M23" s="14" t="str">
        <v>Impressao</v>
      </c>
      <c r="N23" s="14" t="str">
        <v>Provisao INSS - 13ºSalario</v>
      </c>
      <c r="Q23" s="14" t="str">
        <v>Treinamento / Curso / Workshop</v>
      </c>
    </row>
    <row r="24" spans="1:17" x14ac:dyDescent="0.3">
      <c r="A24" s="14">
        <v>51040147</v>
      </c>
      <c r="B24" s="14" t="s">
        <v>54</v>
      </c>
      <c r="C24" s="14" t="s">
        <v>23</v>
      </c>
      <c r="M24" s="14" t="str">
        <v>Internet</v>
      </c>
      <c r="N24" s="14" t="str">
        <v>Provisao INSS s/Ferias</v>
      </c>
    </row>
    <row r="25" spans="1:17" x14ac:dyDescent="0.3">
      <c r="A25" s="14">
        <v>51050207</v>
      </c>
      <c r="B25" s="14" t="s">
        <v>55</v>
      </c>
      <c r="C25" s="14" t="s">
        <v>44</v>
      </c>
      <c r="M25" s="14" t="str">
        <v>IPTU</v>
      </c>
      <c r="N25" s="14" t="str">
        <v>Salarios</v>
      </c>
    </row>
    <row r="26" spans="1:17" x14ac:dyDescent="0.3">
      <c r="A26" s="14">
        <v>51040137</v>
      </c>
      <c r="B26" s="14" t="s">
        <v>56</v>
      </c>
      <c r="C26" s="14" t="s">
        <v>23</v>
      </c>
      <c r="M26" s="14" t="str">
        <v>Jornais, Revistas e Periodicos (Assinatu</v>
      </c>
      <c r="N26" s="14" t="str">
        <v>Seguro de Vida em Grupo</v>
      </c>
    </row>
    <row r="27" spans="1:17" x14ac:dyDescent="0.3">
      <c r="A27" s="14">
        <v>51030203</v>
      </c>
      <c r="B27" s="14" t="s">
        <v>57</v>
      </c>
      <c r="C27" s="14" t="s">
        <v>25</v>
      </c>
      <c r="M27" s="14" t="str">
        <v>Lanches e Refeicoes</v>
      </c>
      <c r="N27" s="14" t="str">
        <v>Treinamento de Pessoal</v>
      </c>
    </row>
    <row r="28" spans="1:17" x14ac:dyDescent="0.3">
      <c r="A28" s="14">
        <v>51010518</v>
      </c>
      <c r="B28" s="14" t="s">
        <v>58</v>
      </c>
      <c r="C28" s="14" t="s">
        <v>29</v>
      </c>
      <c r="M28" s="14" t="str">
        <v>Locacao - Espaco Fisico</v>
      </c>
      <c r="N28" s="14" t="str">
        <v>Vale Transporte</v>
      </c>
    </row>
    <row r="29" spans="1:17" x14ac:dyDescent="0.3">
      <c r="A29" s="14">
        <v>51030106</v>
      </c>
      <c r="B29" s="14" t="s">
        <v>59</v>
      </c>
      <c r="C29" s="14" t="s">
        <v>25</v>
      </c>
      <c r="M29" s="14" t="str">
        <v>Manutenção e Reparos Prediais</v>
      </c>
    </row>
    <row r="30" spans="1:17" x14ac:dyDescent="0.3">
      <c r="A30" s="14">
        <v>51030502</v>
      </c>
      <c r="B30" s="14" t="s">
        <v>60</v>
      </c>
      <c r="C30" s="14" t="s">
        <v>31</v>
      </c>
      <c r="M30" s="14" t="str">
        <v>Materiais Promocionais</v>
      </c>
    </row>
    <row r="31" spans="1:17" x14ac:dyDescent="0.3">
      <c r="A31" s="14">
        <v>51030511</v>
      </c>
      <c r="B31" s="14" t="s">
        <v>61</v>
      </c>
      <c r="C31" s="14" t="s">
        <v>62</v>
      </c>
      <c r="M31" s="14" t="str">
        <v>Material de Consumo</v>
      </c>
    </row>
    <row r="32" spans="1:17" x14ac:dyDescent="0.3">
      <c r="A32" s="14">
        <v>51030305</v>
      </c>
      <c r="B32" s="14" t="s">
        <v>63</v>
      </c>
      <c r="C32" s="14" t="s">
        <v>25</v>
      </c>
      <c r="M32" s="14" t="str">
        <v>Material de Copa e Cozinha</v>
      </c>
    </row>
    <row r="33" spans="1:13" x14ac:dyDescent="0.3">
      <c r="A33" s="14">
        <v>51030303</v>
      </c>
      <c r="B33" s="14" t="s">
        <v>64</v>
      </c>
      <c r="C33" s="14" t="s">
        <v>25</v>
      </c>
      <c r="M33" s="14" t="str">
        <v>Material de Escritorio</v>
      </c>
    </row>
    <row r="34" spans="1:13" x14ac:dyDescent="0.3">
      <c r="A34" s="14">
        <v>51010201</v>
      </c>
      <c r="B34" s="14" t="s">
        <v>65</v>
      </c>
      <c r="C34" s="14" t="s">
        <v>29</v>
      </c>
      <c r="M34" s="14" t="str">
        <v>Material de Informatica</v>
      </c>
    </row>
    <row r="35" spans="1:13" x14ac:dyDescent="0.3">
      <c r="A35" s="14">
        <v>51010104</v>
      </c>
      <c r="B35" s="14" t="s">
        <v>66</v>
      </c>
      <c r="C35" s="14" t="s">
        <v>29</v>
      </c>
      <c r="M35" s="14" t="str">
        <v>Material de Limpeza e Higiene</v>
      </c>
    </row>
    <row r="36" spans="1:13" x14ac:dyDescent="0.3">
      <c r="A36" s="14">
        <v>51030704</v>
      </c>
      <c r="B36" s="14" t="s">
        <v>67</v>
      </c>
      <c r="C36" s="14" t="s">
        <v>25</v>
      </c>
      <c r="M36" s="14" t="str">
        <v>Material de Manutencao</v>
      </c>
    </row>
    <row r="37" spans="1:13" x14ac:dyDescent="0.3">
      <c r="A37" s="14">
        <v>51010402</v>
      </c>
      <c r="B37" s="14" t="s">
        <v>68</v>
      </c>
      <c r="C37" s="14" t="s">
        <v>29</v>
      </c>
      <c r="M37" s="14" t="str">
        <v>Promocoes e Eventos</v>
      </c>
    </row>
    <row r="38" spans="1:13" x14ac:dyDescent="0.3">
      <c r="A38" s="14">
        <v>51010102</v>
      </c>
      <c r="B38" s="14" t="s">
        <v>69</v>
      </c>
      <c r="C38" s="14" t="s">
        <v>29</v>
      </c>
      <c r="M38" s="14" t="str">
        <v>Propaganda, Publicidade, Anuncios</v>
      </c>
    </row>
    <row r="39" spans="1:13" x14ac:dyDescent="0.3">
      <c r="A39" s="14">
        <v>13010102</v>
      </c>
      <c r="B39" s="14" t="s">
        <v>70</v>
      </c>
      <c r="C39" s="14" t="s">
        <v>70</v>
      </c>
      <c r="M39" s="14" t="str">
        <v>Telefonia Fixa</v>
      </c>
    </row>
    <row r="40" spans="1:13" x14ac:dyDescent="0.3">
      <c r="A40" s="14">
        <v>51010103</v>
      </c>
      <c r="B40" s="14" t="s">
        <v>71</v>
      </c>
      <c r="C40" s="14" t="s">
        <v>29</v>
      </c>
      <c r="M40" s="14" t="str">
        <v>Telefonia Movel</v>
      </c>
    </row>
    <row r="41" spans="1:13" x14ac:dyDescent="0.3">
      <c r="A41" s="14">
        <v>51030503</v>
      </c>
      <c r="B41" s="14" t="s">
        <v>72</v>
      </c>
      <c r="C41" s="14" t="s">
        <v>31</v>
      </c>
    </row>
    <row r="42" spans="1:13" x14ac:dyDescent="0.3">
      <c r="A42" s="14">
        <v>51030512</v>
      </c>
      <c r="B42" s="14" t="s">
        <v>73</v>
      </c>
      <c r="C42" s="14" t="s">
        <v>62</v>
      </c>
    </row>
    <row r="43" spans="1:13" x14ac:dyDescent="0.3">
      <c r="A43" s="14">
        <v>51050101</v>
      </c>
      <c r="B43" s="14" t="s">
        <v>74</v>
      </c>
      <c r="C43" s="14" t="s">
        <v>44</v>
      </c>
    </row>
    <row r="44" spans="1:13" x14ac:dyDescent="0.3">
      <c r="A44" s="14">
        <v>51050203</v>
      </c>
      <c r="B44" s="14" t="s">
        <v>44</v>
      </c>
      <c r="C44" s="14" t="s">
        <v>44</v>
      </c>
    </row>
    <row r="45" spans="1:13" x14ac:dyDescent="0.3">
      <c r="A45" s="14">
        <v>51030110</v>
      </c>
      <c r="B45" s="14" t="s">
        <v>75</v>
      </c>
      <c r="C45" s="14" t="s">
        <v>25</v>
      </c>
    </row>
    <row r="46" spans="1:13" x14ac:dyDescent="0.3">
      <c r="A46" s="14">
        <v>51040150</v>
      </c>
      <c r="B46" s="14" t="s">
        <v>76</v>
      </c>
      <c r="C46" s="14" t="s">
        <v>23</v>
      </c>
    </row>
    <row r="47" spans="1:13" x14ac:dyDescent="0.3">
      <c r="A47" s="14">
        <v>51060103</v>
      </c>
      <c r="B47" s="14" t="s">
        <v>77</v>
      </c>
      <c r="C47" s="14" t="s">
        <v>44</v>
      </c>
    </row>
    <row r="48" spans="1:13" x14ac:dyDescent="0.3">
      <c r="A48" s="14">
        <v>51050104</v>
      </c>
      <c r="B48" s="14" t="s">
        <v>78</v>
      </c>
      <c r="C48" s="14" t="s">
        <v>44</v>
      </c>
    </row>
    <row r="49" spans="1:3" x14ac:dyDescent="0.3">
      <c r="A49" s="14">
        <v>51050102</v>
      </c>
      <c r="B49" s="14" t="s">
        <v>79</v>
      </c>
      <c r="C49" s="14" t="s">
        <v>44</v>
      </c>
    </row>
    <row r="50" spans="1:3" x14ac:dyDescent="0.3">
      <c r="A50" s="14">
        <v>51030108</v>
      </c>
      <c r="B50" s="14" t="s">
        <v>80</v>
      </c>
      <c r="C50" s="14" t="s">
        <v>25</v>
      </c>
    </row>
    <row r="51" spans="1:3" x14ac:dyDescent="0.3">
      <c r="A51" s="14">
        <v>51060105</v>
      </c>
      <c r="B51" s="14" t="s">
        <v>81</v>
      </c>
      <c r="C51" s="14" t="s">
        <v>44</v>
      </c>
    </row>
    <row r="52" spans="1:3" x14ac:dyDescent="0.3">
      <c r="A52" s="14">
        <v>51030107</v>
      </c>
      <c r="B52" s="14" t="s">
        <v>82</v>
      </c>
      <c r="C52" s="14" t="s">
        <v>25</v>
      </c>
    </row>
    <row r="53" spans="1:3" x14ac:dyDescent="0.3">
      <c r="A53" s="14">
        <v>51030603</v>
      </c>
      <c r="B53" s="14" t="s">
        <v>83</v>
      </c>
      <c r="C53" s="14" t="s">
        <v>23</v>
      </c>
    </row>
    <row r="54" spans="1:3" x14ac:dyDescent="0.3">
      <c r="A54" s="14">
        <v>51030410</v>
      </c>
      <c r="B54" s="14" t="s">
        <v>84</v>
      </c>
      <c r="C54" s="14" t="s">
        <v>25</v>
      </c>
    </row>
    <row r="55" spans="1:3" x14ac:dyDescent="0.3">
      <c r="A55" s="14">
        <v>51030408</v>
      </c>
      <c r="B55" s="14" t="s">
        <v>85</v>
      </c>
      <c r="C55" s="14" t="s">
        <v>25</v>
      </c>
    </row>
    <row r="56" spans="1:3" x14ac:dyDescent="0.3">
      <c r="A56" s="14">
        <v>13010101</v>
      </c>
      <c r="B56" s="14" t="s">
        <v>42</v>
      </c>
      <c r="C56" s="14" t="s">
        <v>42</v>
      </c>
    </row>
    <row r="57" spans="1:3" x14ac:dyDescent="0.3">
      <c r="A57" s="14">
        <v>51030701</v>
      </c>
      <c r="B57" s="14" t="s">
        <v>86</v>
      </c>
      <c r="C57" s="14" t="s">
        <v>25</v>
      </c>
    </row>
    <row r="58" spans="1:3" x14ac:dyDescent="0.3">
      <c r="A58" s="14">
        <v>51030851</v>
      </c>
      <c r="B58" s="14" t="s">
        <v>87</v>
      </c>
      <c r="C58" s="14" t="s">
        <v>25</v>
      </c>
    </row>
    <row r="59" spans="1:3" x14ac:dyDescent="0.3">
      <c r="A59" s="14">
        <v>51030801</v>
      </c>
      <c r="B59" s="14" t="s">
        <v>88</v>
      </c>
      <c r="C59" s="14" t="s">
        <v>25</v>
      </c>
    </row>
    <row r="60" spans="1:3" x14ac:dyDescent="0.3">
      <c r="A60" s="14">
        <v>51030803</v>
      </c>
      <c r="B60" s="14" t="s">
        <v>89</v>
      </c>
      <c r="C60" s="14" t="s">
        <v>25</v>
      </c>
    </row>
    <row r="61" spans="1:3" x14ac:dyDescent="0.3">
      <c r="A61" s="14">
        <v>51030601</v>
      </c>
      <c r="B61" s="14" t="s">
        <v>90</v>
      </c>
      <c r="C61" s="14" t="s">
        <v>25</v>
      </c>
    </row>
    <row r="62" spans="1:3" x14ac:dyDescent="0.3">
      <c r="A62" s="14">
        <v>51030802</v>
      </c>
      <c r="B62" s="14" t="s">
        <v>91</v>
      </c>
      <c r="C62" s="14" t="s">
        <v>25</v>
      </c>
    </row>
    <row r="63" spans="1:3" x14ac:dyDescent="0.3">
      <c r="A63" s="14">
        <v>51030804</v>
      </c>
      <c r="B63" s="14" t="s">
        <v>92</v>
      </c>
      <c r="C63" s="14" t="s">
        <v>25</v>
      </c>
    </row>
    <row r="64" spans="1:3" x14ac:dyDescent="0.3">
      <c r="A64" s="14">
        <v>13010103</v>
      </c>
      <c r="B64" s="14" t="s">
        <v>93</v>
      </c>
      <c r="C64" s="14" t="s">
        <v>93</v>
      </c>
    </row>
    <row r="65" spans="1:3" x14ac:dyDescent="0.3">
      <c r="A65" s="14">
        <v>51010519</v>
      </c>
      <c r="B65" s="14" t="s">
        <v>94</v>
      </c>
      <c r="C65" s="14" t="s">
        <v>29</v>
      </c>
    </row>
    <row r="66" spans="1:3" x14ac:dyDescent="0.3">
      <c r="A66" s="14">
        <v>51030504</v>
      </c>
      <c r="B66" s="14" t="s">
        <v>95</v>
      </c>
      <c r="C66" s="14" t="s">
        <v>31</v>
      </c>
    </row>
    <row r="67" spans="1:3" x14ac:dyDescent="0.3">
      <c r="A67" s="14">
        <v>51030513</v>
      </c>
      <c r="B67" s="14" t="s">
        <v>96</v>
      </c>
      <c r="C67" s="14" t="s">
        <v>62</v>
      </c>
    </row>
    <row r="68" spans="1:3" x14ac:dyDescent="0.3">
      <c r="A68" s="14">
        <v>51010403</v>
      </c>
      <c r="B68" s="14" t="s">
        <v>97</v>
      </c>
      <c r="C68" s="14" t="s">
        <v>29</v>
      </c>
    </row>
    <row r="69" spans="1:3" x14ac:dyDescent="0.3">
      <c r="A69" s="14">
        <v>51010509</v>
      </c>
      <c r="B69" s="14" t="s">
        <v>98</v>
      </c>
      <c r="C69" s="14" t="s">
        <v>29</v>
      </c>
    </row>
    <row r="70" spans="1:3" x14ac:dyDescent="0.3">
      <c r="A70" s="14">
        <v>51040151</v>
      </c>
      <c r="B70" s="14" t="s">
        <v>99</v>
      </c>
      <c r="C70" s="14" t="s">
        <v>100</v>
      </c>
    </row>
    <row r="71" spans="1:3" x14ac:dyDescent="0.3">
      <c r="A71" s="14">
        <v>51010401</v>
      </c>
      <c r="B71" s="14" t="s">
        <v>101</v>
      </c>
      <c r="C71" s="14" t="s">
        <v>29</v>
      </c>
    </row>
    <row r="72" spans="1:3" x14ac:dyDescent="0.3">
      <c r="A72" s="14">
        <v>51030702</v>
      </c>
      <c r="B72" s="14" t="s">
        <v>102</v>
      </c>
      <c r="C72" s="14" t="s">
        <v>25</v>
      </c>
    </row>
    <row r="73" spans="1:3" x14ac:dyDescent="0.3">
      <c r="A73" s="14">
        <v>51030703</v>
      </c>
      <c r="B73" s="14" t="s">
        <v>103</v>
      </c>
      <c r="C73" s="14" t="s">
        <v>25</v>
      </c>
    </row>
    <row r="74" spans="1:3" x14ac:dyDescent="0.3">
      <c r="A74" s="14">
        <v>51020201</v>
      </c>
      <c r="B74" s="14" t="s">
        <v>104</v>
      </c>
      <c r="C74" s="14" t="s">
        <v>29</v>
      </c>
    </row>
    <row r="75" spans="1:3" x14ac:dyDescent="0.3">
      <c r="A75" s="14">
        <v>51020101</v>
      </c>
      <c r="B75" s="14" t="s">
        <v>105</v>
      </c>
      <c r="C75" s="14" t="s">
        <v>29</v>
      </c>
    </row>
    <row r="76" spans="1:3" x14ac:dyDescent="0.3">
      <c r="A76" s="14">
        <v>51020202</v>
      </c>
      <c r="B76" s="14" t="s">
        <v>106</v>
      </c>
      <c r="C76" s="14" t="s">
        <v>29</v>
      </c>
    </row>
    <row r="77" spans="1:3" x14ac:dyDescent="0.3">
      <c r="A77" s="14">
        <v>51020102</v>
      </c>
      <c r="B77" s="14" t="s">
        <v>107</v>
      </c>
      <c r="C77" s="14" t="s">
        <v>29</v>
      </c>
    </row>
    <row r="78" spans="1:3" x14ac:dyDescent="0.3">
      <c r="A78" s="14">
        <v>51020203</v>
      </c>
      <c r="B78" s="14" t="s">
        <v>108</v>
      </c>
      <c r="C78" s="14" t="s">
        <v>29</v>
      </c>
    </row>
    <row r="79" spans="1:3" x14ac:dyDescent="0.3">
      <c r="A79" s="14">
        <v>51020103</v>
      </c>
      <c r="B79" s="14" t="s">
        <v>109</v>
      </c>
      <c r="C79" s="14" t="s">
        <v>29</v>
      </c>
    </row>
    <row r="80" spans="1:3" x14ac:dyDescent="0.3">
      <c r="A80" s="14">
        <v>51030507</v>
      </c>
      <c r="B80" s="14" t="s">
        <v>110</v>
      </c>
      <c r="C80" s="14" t="s">
        <v>31</v>
      </c>
    </row>
    <row r="81" spans="1:3" x14ac:dyDescent="0.3">
      <c r="A81" s="14">
        <v>51030516</v>
      </c>
      <c r="B81" s="14" t="s">
        <v>111</v>
      </c>
      <c r="C81" s="14" t="s">
        <v>62</v>
      </c>
    </row>
    <row r="82" spans="1:3" x14ac:dyDescent="0.3">
      <c r="A82" s="14">
        <v>51010101</v>
      </c>
      <c r="B82" s="14" t="s">
        <v>112</v>
      </c>
      <c r="C82" s="14" t="s">
        <v>29</v>
      </c>
    </row>
    <row r="83" spans="1:3" x14ac:dyDescent="0.3">
      <c r="A83" s="14">
        <v>51010506</v>
      </c>
      <c r="B83" s="14" t="s">
        <v>113</v>
      </c>
      <c r="C83" s="14" t="s">
        <v>29</v>
      </c>
    </row>
    <row r="84" spans="1:3" x14ac:dyDescent="0.3">
      <c r="A84" s="14">
        <v>51030505</v>
      </c>
      <c r="B84" s="14" t="s">
        <v>114</v>
      </c>
      <c r="C84" s="14" t="s">
        <v>31</v>
      </c>
    </row>
    <row r="85" spans="1:3" x14ac:dyDescent="0.3">
      <c r="A85" s="14">
        <v>51030514</v>
      </c>
      <c r="B85" s="14" t="s">
        <v>115</v>
      </c>
      <c r="C85" s="14" t="s">
        <v>62</v>
      </c>
    </row>
    <row r="86" spans="1:3" x14ac:dyDescent="0.3">
      <c r="A86" s="14">
        <v>51040107</v>
      </c>
      <c r="B86" s="14" t="s">
        <v>116</v>
      </c>
      <c r="C86" s="14" t="s">
        <v>23</v>
      </c>
    </row>
    <row r="87" spans="1:3" x14ac:dyDescent="0.3">
      <c r="A87" s="14">
        <v>51040101</v>
      </c>
      <c r="B87" s="14" t="s">
        <v>117</v>
      </c>
      <c r="C87" s="14" t="s">
        <v>23</v>
      </c>
    </row>
    <row r="88" spans="1:3" x14ac:dyDescent="0.3">
      <c r="A88" s="14">
        <v>51040135</v>
      </c>
      <c r="B88" s="14" t="s">
        <v>24</v>
      </c>
      <c r="C88" s="14" t="s">
        <v>23</v>
      </c>
    </row>
    <row r="89" spans="1:3" x14ac:dyDescent="0.3">
      <c r="A89" s="14">
        <v>51040105</v>
      </c>
      <c r="B89" s="14" t="s">
        <v>118</v>
      </c>
      <c r="C89" s="14" t="s">
        <v>23</v>
      </c>
    </row>
    <row r="90" spans="1:3" x14ac:dyDescent="0.3">
      <c r="A90" s="14">
        <v>13020101</v>
      </c>
      <c r="B90" s="14" t="s">
        <v>119</v>
      </c>
      <c r="C90" s="14" t="s">
        <v>119</v>
      </c>
    </row>
    <row r="91" spans="1:3" x14ac:dyDescent="0.3">
      <c r="A91" s="14">
        <v>51060102</v>
      </c>
      <c r="B91" s="14" t="s">
        <v>120</v>
      </c>
      <c r="C91" s="14" t="s">
        <v>44</v>
      </c>
    </row>
    <row r="92" spans="1:3" x14ac:dyDescent="0.3">
      <c r="A92" s="14">
        <v>51030202</v>
      </c>
      <c r="B92" s="14" t="s">
        <v>121</v>
      </c>
      <c r="C92" s="14" t="s">
        <v>25</v>
      </c>
    </row>
    <row r="93" spans="1:3" x14ac:dyDescent="0.3">
      <c r="A93" s="14">
        <v>51030204</v>
      </c>
      <c r="B93" s="14" t="s">
        <v>122</v>
      </c>
      <c r="C93" s="14" t="s">
        <v>25</v>
      </c>
    </row>
    <row r="94" spans="1:3" x14ac:dyDescent="0.3">
      <c r="A94" s="14">
        <v>51040121</v>
      </c>
      <c r="B94" s="14" t="s">
        <v>123</v>
      </c>
      <c r="C94" s="14" t="s">
        <v>23</v>
      </c>
    </row>
    <row r="95" spans="1:3" x14ac:dyDescent="0.3">
      <c r="A95" s="14">
        <v>51030506</v>
      </c>
      <c r="B95" s="14" t="s">
        <v>124</v>
      </c>
      <c r="C95" s="14" t="s">
        <v>31</v>
      </c>
    </row>
    <row r="96" spans="1:3" x14ac:dyDescent="0.3">
      <c r="A96" s="14">
        <v>51030515</v>
      </c>
      <c r="B96" s="14" t="s">
        <v>125</v>
      </c>
      <c r="C96" s="14" t="s">
        <v>62</v>
      </c>
    </row>
    <row r="97" spans="1:3" x14ac:dyDescent="0.3">
      <c r="A97" s="14">
        <v>51040104</v>
      </c>
      <c r="B97" s="14" t="s">
        <v>126</v>
      </c>
      <c r="C97" s="14" t="s">
        <v>23</v>
      </c>
    </row>
    <row r="98" spans="1:3" x14ac:dyDescent="0.3">
      <c r="A98" s="14">
        <v>51010511</v>
      </c>
      <c r="B98" s="14" t="s">
        <v>127</v>
      </c>
      <c r="C98" s="14" t="s">
        <v>29</v>
      </c>
    </row>
    <row r="99" spans="1:3" x14ac:dyDescent="0.3">
      <c r="A99" s="14">
        <v>51010507</v>
      </c>
      <c r="B99" s="14" t="s">
        <v>128</v>
      </c>
      <c r="C99" s="14" t="s">
        <v>29</v>
      </c>
    </row>
    <row r="100" spans="1:3" x14ac:dyDescent="0.3">
      <c r="A100" s="14">
        <v>51030409</v>
      </c>
      <c r="B100" s="14" t="s">
        <v>129</v>
      </c>
      <c r="C100" s="14" t="s">
        <v>25</v>
      </c>
    </row>
    <row r="101" spans="1:3" x14ac:dyDescent="0.3">
      <c r="A101" s="14">
        <v>51030103</v>
      </c>
      <c r="B101" s="14" t="s">
        <v>130</v>
      </c>
      <c r="C101" s="14" t="s">
        <v>25</v>
      </c>
    </row>
    <row r="102" spans="1:3" x14ac:dyDescent="0.3">
      <c r="A102" s="14">
        <v>51030411</v>
      </c>
      <c r="B102" s="14" t="s">
        <v>131</v>
      </c>
      <c r="C102" s="14" t="s">
        <v>25</v>
      </c>
    </row>
    <row r="103" spans="1:3" x14ac:dyDescent="0.3">
      <c r="A103" s="14">
        <v>51030109</v>
      </c>
      <c r="B103" s="14" t="s">
        <v>132</v>
      </c>
      <c r="C103" s="14" t="s">
        <v>23</v>
      </c>
    </row>
    <row r="104" spans="1:3" x14ac:dyDescent="0.3">
      <c r="A104" s="14">
        <v>51030301</v>
      </c>
      <c r="B104" s="14" t="s">
        <v>133</v>
      </c>
      <c r="C104" s="14" t="s">
        <v>25</v>
      </c>
    </row>
    <row r="105" spans="1:3" x14ac:dyDescent="0.3">
      <c r="A105" s="14">
        <v>51030510</v>
      </c>
      <c r="B105" s="14" t="s">
        <v>134</v>
      </c>
      <c r="C105" s="14" t="s">
        <v>62</v>
      </c>
    </row>
    <row r="106" spans="1:3" x14ac:dyDescent="0.3">
      <c r="A106" s="14">
        <v>51030401</v>
      </c>
      <c r="B106" s="14" t="s">
        <v>26</v>
      </c>
      <c r="C106" s="14" t="s">
        <v>25</v>
      </c>
    </row>
    <row r="107" spans="1:3" x14ac:dyDescent="0.3">
      <c r="A107" s="14">
        <v>51030407</v>
      </c>
      <c r="B107" s="14" t="s">
        <v>135</v>
      </c>
      <c r="C107" s="14" t="s">
        <v>25</v>
      </c>
    </row>
    <row r="108" spans="1:3" x14ac:dyDescent="0.3">
      <c r="A108" s="14">
        <v>51030402</v>
      </c>
      <c r="B108" s="14" t="s">
        <v>136</v>
      </c>
      <c r="C108" s="14" t="s">
        <v>25</v>
      </c>
    </row>
    <row r="109" spans="1:3" x14ac:dyDescent="0.3">
      <c r="A109" s="14">
        <v>51030403</v>
      </c>
      <c r="B109" s="14" t="s">
        <v>137</v>
      </c>
      <c r="C109" s="14" t="s">
        <v>25</v>
      </c>
    </row>
    <row r="110" spans="1:3" x14ac:dyDescent="0.3">
      <c r="A110" s="14">
        <v>51040102</v>
      </c>
      <c r="B110" s="14" t="s">
        <v>138</v>
      </c>
      <c r="C110" s="14" t="s">
        <v>23</v>
      </c>
    </row>
    <row r="111" spans="1:3" x14ac:dyDescent="0.3">
      <c r="A111" s="14">
        <v>13010104</v>
      </c>
      <c r="B111" s="14" t="s">
        <v>139</v>
      </c>
      <c r="C111" s="14" t="s">
        <v>140</v>
      </c>
    </row>
    <row r="112" spans="1:3" x14ac:dyDescent="0.3">
      <c r="A112" s="14">
        <v>51030405</v>
      </c>
      <c r="B112" s="14" t="s">
        <v>141</v>
      </c>
      <c r="C112" s="14" t="s">
        <v>25</v>
      </c>
    </row>
    <row r="113" spans="1:3" x14ac:dyDescent="0.3">
      <c r="A113" s="14">
        <v>51040119</v>
      </c>
      <c r="B113" s="14" t="s">
        <v>142</v>
      </c>
      <c r="C113" s="14" t="s">
        <v>50</v>
      </c>
    </row>
    <row r="114" spans="1:3" x14ac:dyDescent="0.3">
      <c r="A114" s="14">
        <v>51040109</v>
      </c>
      <c r="B114" s="14" t="s">
        <v>143</v>
      </c>
      <c r="C114" s="14" t="s">
        <v>23</v>
      </c>
    </row>
    <row r="115" spans="1:3" x14ac:dyDescent="0.3">
      <c r="A115" s="14">
        <v>51040138</v>
      </c>
      <c r="B115" s="14" t="s">
        <v>144</v>
      </c>
      <c r="C115" s="14" t="s">
        <v>23</v>
      </c>
    </row>
    <row r="116" spans="1:3" x14ac:dyDescent="0.3">
      <c r="A116" s="14">
        <v>51030104</v>
      </c>
      <c r="B116" s="14" t="s">
        <v>145</v>
      </c>
      <c r="C116" s="14" t="s">
        <v>25</v>
      </c>
    </row>
    <row r="117" spans="1:3" x14ac:dyDescent="0.3">
      <c r="A117" s="14">
        <v>51030307</v>
      </c>
      <c r="B117" s="14" t="s">
        <v>146</v>
      </c>
      <c r="C117" s="14" t="s">
        <v>25</v>
      </c>
    </row>
    <row r="118" spans="1:3" x14ac:dyDescent="0.3">
      <c r="A118" s="14">
        <v>51030304</v>
      </c>
      <c r="B118" s="14" t="s">
        <v>147</v>
      </c>
      <c r="C118" s="14" t="s">
        <v>25</v>
      </c>
    </row>
    <row r="119" spans="1:3" x14ac:dyDescent="0.3">
      <c r="A119" s="14">
        <v>51031002</v>
      </c>
      <c r="B119" s="14" t="s">
        <v>148</v>
      </c>
      <c r="C119" s="14" t="s">
        <v>149</v>
      </c>
    </row>
    <row r="120" spans="1:3" x14ac:dyDescent="0.3">
      <c r="A120" s="14">
        <v>51030602</v>
      </c>
      <c r="B120" s="14" t="s">
        <v>150</v>
      </c>
      <c r="C120" s="14" t="s">
        <v>119</v>
      </c>
    </row>
    <row r="121" spans="1:3" x14ac:dyDescent="0.3">
      <c r="A121" s="14">
        <v>51030201</v>
      </c>
      <c r="B121" s="14" t="s">
        <v>151</v>
      </c>
      <c r="C121" s="14" t="s">
        <v>25</v>
      </c>
    </row>
    <row r="122" spans="1:3" x14ac:dyDescent="0.3">
      <c r="A122" s="14">
        <v>51050204</v>
      </c>
      <c r="B122" s="14" t="s">
        <v>152</v>
      </c>
      <c r="C122" s="14" t="s">
        <v>25</v>
      </c>
    </row>
    <row r="123" spans="1:3" x14ac:dyDescent="0.3">
      <c r="A123" s="14">
        <v>51010112</v>
      </c>
      <c r="B123" s="14" t="s">
        <v>153</v>
      </c>
      <c r="C123" s="14" t="s">
        <v>29</v>
      </c>
    </row>
    <row r="124" spans="1:3" x14ac:dyDescent="0.3">
      <c r="A124" s="14">
        <v>51031001</v>
      </c>
      <c r="B124" s="14" t="s">
        <v>154</v>
      </c>
      <c r="C124" s="14" t="s">
        <v>149</v>
      </c>
    </row>
    <row r="125" spans="1:3" x14ac:dyDescent="0.3">
      <c r="A125" s="14">
        <v>61010120</v>
      </c>
      <c r="B125" s="14" t="s">
        <v>155</v>
      </c>
      <c r="C125" s="14" t="s">
        <v>23</v>
      </c>
    </row>
    <row r="126" spans="1:3" x14ac:dyDescent="0.3">
      <c r="A126" s="14">
        <v>21020103</v>
      </c>
      <c r="B126" s="14" t="s">
        <v>156</v>
      </c>
      <c r="C126" s="14" t="s">
        <v>50</v>
      </c>
    </row>
    <row r="127" spans="1:3" x14ac:dyDescent="0.3">
      <c r="A127" s="14">
        <v>51040140</v>
      </c>
      <c r="B127" s="14" t="s">
        <v>157</v>
      </c>
      <c r="C127" s="14" t="s">
        <v>23</v>
      </c>
    </row>
    <row r="128" spans="1:3" x14ac:dyDescent="0.3">
      <c r="A128" s="14">
        <v>51060107</v>
      </c>
      <c r="B128" s="14" t="s">
        <v>158</v>
      </c>
      <c r="C128" s="14" t="s">
        <v>44</v>
      </c>
    </row>
    <row r="129" spans="1:3" x14ac:dyDescent="0.3">
      <c r="A129" s="14">
        <v>51060109</v>
      </c>
      <c r="B129" s="14" t="s">
        <v>159</v>
      </c>
      <c r="C129" s="14" t="s">
        <v>44</v>
      </c>
    </row>
    <row r="130" spans="1:3" x14ac:dyDescent="0.3">
      <c r="A130" s="14">
        <v>51060104</v>
      </c>
      <c r="B130" s="14" t="s">
        <v>160</v>
      </c>
      <c r="C130" s="14" t="s">
        <v>44</v>
      </c>
    </row>
    <row r="131" spans="1:3" x14ac:dyDescent="0.3">
      <c r="A131" s="14">
        <v>51040145</v>
      </c>
      <c r="B131" s="14" t="s">
        <v>161</v>
      </c>
      <c r="C131" s="14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4EAF-5EFF-4BDF-B5C3-B8B06A00DC79}">
  <dimension ref="A1:I31"/>
  <sheetViews>
    <sheetView showGridLines="0" workbookViewId="0">
      <selection activeCell="H15" sqref="H15"/>
    </sheetView>
  </sheetViews>
  <sheetFormatPr defaultColWidth="8.88671875" defaultRowHeight="13.8" x14ac:dyDescent="0.3"/>
  <cols>
    <col min="1" max="1" width="17.6640625" style="14" bestFit="1" customWidth="1"/>
    <col min="2" max="2" width="18.33203125" style="14" bestFit="1" customWidth="1"/>
    <col min="3" max="3" width="8.88671875" style="14"/>
    <col min="4" max="4" width="17.6640625" style="14" bestFit="1" customWidth="1"/>
    <col min="5" max="5" width="18.33203125" style="14" bestFit="1" customWidth="1"/>
    <col min="6" max="6" width="8.88671875" style="14"/>
    <col min="7" max="7" width="9.109375" style="14" bestFit="1" customWidth="1"/>
    <col min="8" max="8" width="43.33203125" style="14" bestFit="1" customWidth="1"/>
    <col min="9" max="9" width="19.6640625" style="14" bestFit="1" customWidth="1"/>
    <col min="10" max="16384" width="8.88671875" style="14"/>
  </cols>
  <sheetData>
    <row r="1" spans="1:9" x14ac:dyDescent="0.3">
      <c r="A1" s="14" t="s">
        <v>162</v>
      </c>
      <c r="B1" s="14" t="s">
        <v>0</v>
      </c>
      <c r="D1" s="14" t="s">
        <v>4</v>
      </c>
      <c r="E1" s="14" t="s">
        <v>0</v>
      </c>
      <c r="G1" s="14" t="s">
        <v>163</v>
      </c>
      <c r="H1" s="14" t="s">
        <v>164</v>
      </c>
      <c r="I1" s="14" t="s">
        <v>3</v>
      </c>
    </row>
    <row r="2" spans="1:9" x14ac:dyDescent="0.3">
      <c r="A2" s="14" t="s">
        <v>165</v>
      </c>
      <c r="B2" s="14" t="s">
        <v>166</v>
      </c>
      <c r="D2" s="14" t="s">
        <v>167</v>
      </c>
      <c r="E2" s="14" t="s">
        <v>168</v>
      </c>
      <c r="G2" s="14" t="s">
        <v>169</v>
      </c>
      <c r="H2" s="14" t="s">
        <v>170</v>
      </c>
      <c r="I2" s="14" t="s">
        <v>171</v>
      </c>
    </row>
    <row r="3" spans="1:9" x14ac:dyDescent="0.3">
      <c r="A3" s="14" t="s">
        <v>172</v>
      </c>
      <c r="B3" s="14" t="s">
        <v>168</v>
      </c>
      <c r="D3" s="14" t="s">
        <v>173</v>
      </c>
      <c r="E3" s="14" t="s">
        <v>174</v>
      </c>
      <c r="G3" s="14" t="s">
        <v>175</v>
      </c>
      <c r="H3" s="14" t="s">
        <v>176</v>
      </c>
      <c r="I3" s="14" t="s">
        <v>171</v>
      </c>
    </row>
    <row r="4" spans="1:9" x14ac:dyDescent="0.3">
      <c r="A4" s="14" t="s">
        <v>177</v>
      </c>
      <c r="B4" s="14" t="s">
        <v>178</v>
      </c>
      <c r="D4" s="14" t="s">
        <v>179</v>
      </c>
      <c r="E4" s="14" t="s">
        <v>166</v>
      </c>
      <c r="G4" s="14" t="s">
        <v>180</v>
      </c>
      <c r="H4" s="14" t="s">
        <v>181</v>
      </c>
      <c r="I4" s="14" t="s">
        <v>182</v>
      </c>
    </row>
    <row r="5" spans="1:9" x14ac:dyDescent="0.3">
      <c r="A5" s="14" t="s">
        <v>183</v>
      </c>
      <c r="B5" s="14" t="s">
        <v>155</v>
      </c>
      <c r="D5" s="14" t="s">
        <v>177</v>
      </c>
      <c r="E5" s="14" t="s">
        <v>178</v>
      </c>
      <c r="G5" s="14" t="s">
        <v>184</v>
      </c>
      <c r="H5" s="14" t="s">
        <v>185</v>
      </c>
      <c r="I5" s="14" t="s">
        <v>186</v>
      </c>
    </row>
    <row r="6" spans="1:9" x14ac:dyDescent="0.3">
      <c r="A6" s="14" t="s">
        <v>187</v>
      </c>
      <c r="B6" s="14" t="s">
        <v>174</v>
      </c>
      <c r="D6" s="14" t="s">
        <v>177</v>
      </c>
      <c r="E6" s="14" t="s">
        <v>178</v>
      </c>
      <c r="G6" s="14" t="s">
        <v>188</v>
      </c>
      <c r="H6" s="14" t="s">
        <v>189</v>
      </c>
      <c r="I6" s="14" t="s">
        <v>190</v>
      </c>
    </row>
    <row r="7" spans="1:9" x14ac:dyDescent="0.3">
      <c r="D7" s="14" t="s">
        <v>191</v>
      </c>
      <c r="E7" s="14" t="s">
        <v>174</v>
      </c>
    </row>
    <row r="8" spans="1:9" x14ac:dyDescent="0.3">
      <c r="D8" s="14" t="s">
        <v>192</v>
      </c>
      <c r="E8" s="14" t="s">
        <v>168</v>
      </c>
    </row>
    <row r="9" spans="1:9" x14ac:dyDescent="0.3">
      <c r="D9" s="14" t="s">
        <v>172</v>
      </c>
      <c r="E9" s="14" t="s">
        <v>168</v>
      </c>
    </row>
    <row r="10" spans="1:9" x14ac:dyDescent="0.3">
      <c r="D10" s="14" t="s">
        <v>172</v>
      </c>
      <c r="E10" s="14" t="s">
        <v>168</v>
      </c>
    </row>
    <row r="11" spans="1:9" x14ac:dyDescent="0.3">
      <c r="D11" s="14" t="s">
        <v>193</v>
      </c>
      <c r="E11" s="14" t="s">
        <v>168</v>
      </c>
    </row>
    <row r="12" spans="1:9" x14ac:dyDescent="0.3">
      <c r="D12" s="14" t="s">
        <v>194</v>
      </c>
      <c r="E12" s="14" t="s">
        <v>166</v>
      </c>
    </row>
    <row r="13" spans="1:9" x14ac:dyDescent="0.3">
      <c r="D13" s="14" t="s">
        <v>195</v>
      </c>
      <c r="E13" s="14" t="s">
        <v>174</v>
      </c>
    </row>
    <row r="14" spans="1:9" x14ac:dyDescent="0.3">
      <c r="D14" s="14" t="s">
        <v>196</v>
      </c>
      <c r="E14" s="14" t="s">
        <v>168</v>
      </c>
    </row>
    <row r="15" spans="1:9" x14ac:dyDescent="0.3">
      <c r="D15" s="14" t="s">
        <v>197</v>
      </c>
      <c r="E15" s="14" t="s">
        <v>168</v>
      </c>
    </row>
    <row r="16" spans="1:9" x14ac:dyDescent="0.3">
      <c r="D16" s="14" t="s">
        <v>198</v>
      </c>
      <c r="E16" s="14" t="s">
        <v>166</v>
      </c>
    </row>
    <row r="17" spans="4:5" x14ac:dyDescent="0.3">
      <c r="D17" s="14" t="s">
        <v>183</v>
      </c>
      <c r="E17" s="14" t="s">
        <v>155</v>
      </c>
    </row>
    <row r="18" spans="4:5" x14ac:dyDescent="0.3">
      <c r="D18" s="14" t="s">
        <v>183</v>
      </c>
      <c r="E18" s="14" t="s">
        <v>155</v>
      </c>
    </row>
    <row r="19" spans="4:5" x14ac:dyDescent="0.3">
      <c r="D19" s="14" t="s">
        <v>199</v>
      </c>
      <c r="E19" s="14" t="s">
        <v>155</v>
      </c>
    </row>
    <row r="20" spans="4:5" x14ac:dyDescent="0.3">
      <c r="D20" s="14" t="s">
        <v>165</v>
      </c>
      <c r="E20" s="14" t="s">
        <v>166</v>
      </c>
    </row>
    <row r="21" spans="4:5" x14ac:dyDescent="0.3">
      <c r="D21" s="14" t="s">
        <v>200</v>
      </c>
      <c r="E21" s="14" t="s">
        <v>166</v>
      </c>
    </row>
    <row r="22" spans="4:5" x14ac:dyDescent="0.3">
      <c r="D22" s="14" t="s">
        <v>187</v>
      </c>
      <c r="E22" s="14" t="s">
        <v>174</v>
      </c>
    </row>
    <row r="23" spans="4:5" x14ac:dyDescent="0.3">
      <c r="D23" s="14" t="s">
        <v>187</v>
      </c>
      <c r="E23" s="14" t="s">
        <v>174</v>
      </c>
    </row>
    <row r="24" spans="4:5" x14ac:dyDescent="0.3">
      <c r="D24" s="14" t="s">
        <v>201</v>
      </c>
      <c r="E24" s="14" t="s">
        <v>178</v>
      </c>
    </row>
    <row r="25" spans="4:5" x14ac:dyDescent="0.3">
      <c r="D25" s="14" t="s">
        <v>202</v>
      </c>
      <c r="E25" s="14" t="s">
        <v>174</v>
      </c>
    </row>
    <row r="26" spans="4:5" x14ac:dyDescent="0.3">
      <c r="D26" s="14" t="s">
        <v>203</v>
      </c>
      <c r="E26" s="14" t="s">
        <v>155</v>
      </c>
    </row>
    <row r="27" spans="4:5" x14ac:dyDescent="0.3">
      <c r="D27" s="14" t="s">
        <v>204</v>
      </c>
      <c r="E27" s="14" t="s">
        <v>168</v>
      </c>
    </row>
    <row r="28" spans="4:5" x14ac:dyDescent="0.3">
      <c r="D28" s="14" t="s">
        <v>205</v>
      </c>
      <c r="E28" s="14" t="s">
        <v>155</v>
      </c>
    </row>
    <row r="29" spans="4:5" x14ac:dyDescent="0.3">
      <c r="D29" s="14" t="s">
        <v>206</v>
      </c>
      <c r="E29" s="14" t="s">
        <v>166</v>
      </c>
    </row>
    <row r="30" spans="4:5" x14ac:dyDescent="0.3">
      <c r="D30" s="14" t="s">
        <v>207</v>
      </c>
      <c r="E30" s="14" t="s">
        <v>168</v>
      </c>
    </row>
    <row r="31" spans="4:5" x14ac:dyDescent="0.3">
      <c r="D31" s="14" t="s">
        <v>208</v>
      </c>
      <c r="E31" s="14" t="s">
        <v>155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93d387-10d0-4a92-971b-24c9a4eace3c">
      <Terms xmlns="http://schemas.microsoft.com/office/infopath/2007/PartnerControls"/>
    </lcf76f155ced4ddcb4097134ff3c332f>
    <TaxCatchAll xmlns="4320fc71-4a3a-4a59-8165-fb15a0683b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2DB3135EE98541AAC4DF088A065BCC" ma:contentTypeVersion="19" ma:contentTypeDescription="Crie um novo documento." ma:contentTypeScope="" ma:versionID="2ad5cdf2814a8059e81ea4e48c698d74">
  <xsd:schema xmlns:xsd="http://www.w3.org/2001/XMLSchema" xmlns:xs="http://www.w3.org/2001/XMLSchema" xmlns:p="http://schemas.microsoft.com/office/2006/metadata/properties" xmlns:ns2="2793d387-10d0-4a92-971b-24c9a4eace3c" xmlns:ns3="4320fc71-4a3a-4a59-8165-fb15a0683be8" targetNamespace="http://schemas.microsoft.com/office/2006/metadata/properties" ma:root="true" ma:fieldsID="ac523bbe2cebc45705447e07ca94a0b3" ns2:_="" ns3:_="">
    <xsd:import namespace="2793d387-10d0-4a92-971b-24c9a4eace3c"/>
    <xsd:import namespace="4320fc71-4a3a-4a59-8165-fb15a0683b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3d387-10d0-4a92-971b-24c9a4eace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5c6d6704-c1be-48d0-823f-e0f8bcbfaa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0fc71-4a3a-4a59-8165-fb15a0683be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dbe3d2-24b8-45f3-b0c4-d93a1b44ebcd}" ma:internalName="TaxCatchAll" ma:showField="CatchAllData" ma:web="4320fc71-4a3a-4a59-8165-fb15a0683b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25103D-5693-4066-8CD9-5FA9C203550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EE23CF5-EADA-4141-9ADB-62949A1E5273}">
  <ds:schemaRefs>
    <ds:schemaRef ds:uri="http://schemas.microsoft.com/office/2006/metadata/properties"/>
    <ds:schemaRef ds:uri="http://schemas.microsoft.com/office/infopath/2007/PartnerControls"/>
    <ds:schemaRef ds:uri="2793d387-10d0-4a92-971b-24c9a4eace3c"/>
    <ds:schemaRef ds:uri="4320fc71-4a3a-4a59-8165-fb15a0683be8"/>
  </ds:schemaRefs>
</ds:datastoreItem>
</file>

<file path=customXml/itemProps3.xml><?xml version="1.0" encoding="utf-8"?>
<ds:datastoreItem xmlns:ds="http://schemas.openxmlformats.org/officeDocument/2006/customXml" ds:itemID="{B7F24855-5535-45AE-B882-C34358A5076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E4E5997-D353-4D78-8E68-E364EB013C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93d387-10d0-4a92-971b-24c9a4eace3c"/>
    <ds:schemaRef ds:uri="4320fc71-4a3a-4a59-8165-fb15a0683b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Calendarização</vt:lpstr>
      <vt:lpstr>Conta Contábil</vt:lpstr>
      <vt:lpstr>Diretoria, Gerente, Origem</vt:lpstr>
      <vt:lpstr>Diretoria_Adjunta</vt:lpstr>
      <vt:lpstr>Gerente</vt:lpstr>
      <vt:lpstr>Origem_de_Recurso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Soares Lopes de Souza</dc:creator>
  <cp:keywords/>
  <dc:description/>
  <cp:lastModifiedBy>Vívian Castelo Branco Guerreiro Moreira</cp:lastModifiedBy>
  <cp:revision/>
  <dcterms:created xsi:type="dcterms:W3CDTF">2025-10-10T19:27:50Z</dcterms:created>
  <dcterms:modified xsi:type="dcterms:W3CDTF">2026-09-30T19:18:24Z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0x010100902DB3135EE98541AAC4DF088A065BCC</vt:lpwstr>
  </property>
  <property fmtid="{D5CDD505-2E9C-101B-9397-08002B2CF9AE}" pid="3" name="MediaServiceImageTags">
    <vt:lpwstr/>
  </property>
</Properties>
</file>